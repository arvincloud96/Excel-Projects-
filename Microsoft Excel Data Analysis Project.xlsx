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6.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arvind\Documents\MS EXCEL DOCS\"/>
    </mc:Choice>
  </mc:AlternateContent>
  <xr:revisionPtr revIDLastSave="0" documentId="8_{71EDCB12-6758-4B84-A1EA-AD8C5A9C2B47}" xr6:coauthVersionLast="45" xr6:coauthVersionMax="45" xr10:uidLastSave="{00000000-0000-0000-0000-000000000000}"/>
  <bookViews>
    <workbookView xWindow="-120" yWindow="-120" windowWidth="20730" windowHeight="11160" xr2:uid="{26D4546B-D2A1-4444-8EAF-A6228F96F0C1}"/>
  </bookViews>
  <sheets>
    <sheet name="Data" sheetId="1" r:id="rId1"/>
    <sheet name="To Do" sheetId="12" r:id="rId2"/>
    <sheet name="1" sheetId="2" r:id="rId3"/>
    <sheet name="2" sheetId="3" r:id="rId4"/>
    <sheet name="3" sheetId="4" r:id="rId5"/>
    <sheet name="4" sheetId="5" r:id="rId6"/>
    <sheet name="5" sheetId="6" r:id="rId7"/>
    <sheet name="6" sheetId="7" r:id="rId8"/>
    <sheet name="7" sheetId="9" r:id="rId9"/>
    <sheet name="8" sheetId="10" r:id="rId10"/>
    <sheet name="9" sheetId="11" r:id="rId11"/>
  </sheets>
  <definedNames>
    <definedName name="_xlnm._FilterDatabase" localSheetId="4" hidden="1">'3'!$C$4:$F$10</definedName>
    <definedName name="_xlnm._FilterDatabase" localSheetId="0" hidden="1">Data!$C$3:$G$3</definedName>
    <definedName name="_xlcn.WorksheetConnection_OngoingbeginnerDAcourseblank.xlsxdata1" hidden="1">data[]</definedName>
    <definedName name="Slicer_Geography">#N/A</definedName>
    <definedName name="Slicer_Geography1">#N/A</definedName>
    <definedName name="Slicer_Sales_Person">#N/A</definedName>
  </definedNames>
  <calcPr calcId="181029"/>
  <pivotCaches>
    <pivotCache cacheId="0" r:id="rId12"/>
    <pivotCache cacheId="1" r:id="rId13"/>
    <pivotCache cacheId="2" r:id="rId14"/>
    <pivotCache cacheId="3" r:id="rId15"/>
  </pivotCaches>
  <extLst>
    <ext xmlns:x14="http://schemas.microsoft.com/office/spreadsheetml/2009/9/main" uri="{876F7934-8845-4945-9796-88D515C7AA90}">
      <x14:pivotCaches>
        <pivotCache cacheId="4" r:id="rId16"/>
        <pivotCache cacheId="5" r:id="rId17"/>
      </x14:pivotCaches>
    </ex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name="data" connection="WorksheetConnection_Ongoing beginner-DA-course-blank.xlsx!data"/>
        </x15:modelTables>
      </x15:dataModel>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I5" i="1" l="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L10" i="10" l="1"/>
  <c r="L16" i="10"/>
  <c r="L11" i="10"/>
  <c r="L13" i="10"/>
  <c r="L12" i="10"/>
  <c r="L14" i="10"/>
  <c r="L9" i="10"/>
  <c r="L15" i="10"/>
  <c r="L17" i="10"/>
  <c r="L18" i="10"/>
  <c r="K10" i="10"/>
  <c r="M10" i="10" s="1"/>
  <c r="K16" i="10"/>
  <c r="M16" i="10" s="1"/>
  <c r="K11" i="10"/>
  <c r="M11" i="10" s="1"/>
  <c r="K13" i="10"/>
  <c r="M13" i="10" s="1"/>
  <c r="K12" i="10"/>
  <c r="M12" i="10" s="1"/>
  <c r="K14" i="10"/>
  <c r="M14" i="10" s="1"/>
  <c r="K9" i="10"/>
  <c r="M9" i="10" s="1"/>
  <c r="K15" i="10"/>
  <c r="M15" i="10" s="1"/>
  <c r="K17" i="10"/>
  <c r="M17" i="10" s="1"/>
  <c r="K18" i="10"/>
  <c r="M18" i="10" s="1"/>
  <c r="H14" i="10"/>
  <c r="H11" i="10"/>
  <c r="G14" i="10"/>
  <c r="G11" i="10" l="1"/>
  <c r="H8" i="10"/>
  <c r="H12" i="10"/>
  <c r="H13" i="10" s="1"/>
  <c r="H4" i="1"/>
  <c r="I4" i="1" s="1"/>
  <c r="G12" i="10" l="1"/>
  <c r="G13" i="10" s="1"/>
  <c r="F8" i="4"/>
  <c r="F6" i="4"/>
  <c r="F9" i="4"/>
  <c r="F10" i="4"/>
  <c r="F5" i="4"/>
  <c r="F7" i="4"/>
  <c r="D8" i="4"/>
  <c r="E8" i="4" s="1"/>
  <c r="D6" i="4"/>
  <c r="E6" i="4" s="1"/>
  <c r="D9" i="4"/>
  <c r="E9" i="4" s="1"/>
  <c r="D10" i="4"/>
  <c r="E10" i="4" s="1"/>
  <c r="D5" i="4"/>
  <c r="E5" i="4" s="1"/>
  <c r="D7" i="4"/>
  <c r="E7" i="4" s="1"/>
  <c r="E11" i="2" l="1"/>
  <c r="D11" i="2"/>
  <c r="E10" i="2"/>
  <c r="D10" i="2"/>
  <c r="E7" i="2"/>
  <c r="D7" i="2"/>
  <c r="E6" i="2"/>
  <c r="D6" i="2"/>
  <c r="E5" i="2"/>
  <c r="D5" i="2"/>
  <c r="E4" i="2"/>
  <c r="D4" i="2"/>
  <c r="D8" i="2" l="1"/>
  <c r="E8"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008E7E0-B6C3-4DFA-9AF1-4E9F26A568BC}"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9AA7D4B-12B6-4C1B-9CE1-32F037253E08}" name="WorksheetConnection_Ongoing beginner-DA-course-blank.xlsx!data" type="102" refreshedVersion="6" minRefreshableVersion="5">
    <extLst>
      <ext xmlns:x15="http://schemas.microsoft.com/office/spreadsheetml/2010/11/main" uri="{DE250136-89BD-433C-8126-D09CA5730AF9}">
        <x15:connection id="data" autoDelete="1">
          <x15:rangePr sourceName="_xlcn.WorksheetConnection_OngoingbeginnerDAcourseblank.xlsxdata1"/>
        </x15:connection>
      </ext>
    </extLst>
  </connection>
</connections>
</file>

<file path=xl/sharedStrings.xml><?xml version="1.0" encoding="utf-8"?>
<sst xmlns="http://schemas.openxmlformats.org/spreadsheetml/2006/main" count="2018" uniqueCount="95">
  <si>
    <t>Product</t>
  </si>
  <si>
    <t>Amount</t>
  </si>
  <si>
    <t>Barr Faughny</t>
  </si>
  <si>
    <t>Gunar Cockshoot</t>
  </si>
  <si>
    <t>Almond Choco</t>
  </si>
  <si>
    <t>Gigi Bohling</t>
  </si>
  <si>
    <t>Curtice Advani</t>
  </si>
  <si>
    <t>Ches Bonnell</t>
  </si>
  <si>
    <t>Brien Boise</t>
  </si>
  <si>
    <t>Husein Augar</t>
  </si>
  <si>
    <t>Oby Sorrel</t>
  </si>
  <si>
    <t>Sales Person</t>
  </si>
  <si>
    <t>Geography</t>
  </si>
  <si>
    <t>Milk Bars</t>
  </si>
  <si>
    <t>50% Dark Bites</t>
  </si>
  <si>
    <t>Raspberry Choco</t>
  </si>
  <si>
    <t>Mint Chip Choco</t>
  </si>
  <si>
    <t>Eclairs</t>
  </si>
  <si>
    <t>Drinking Coco</t>
  </si>
  <si>
    <t>99% Dark &amp; Pure</t>
  </si>
  <si>
    <t>Orange Choco</t>
  </si>
  <si>
    <t>Spicy Special Slims</t>
  </si>
  <si>
    <t>After Nines</t>
  </si>
  <si>
    <t>Fruit &amp; Nut Bars</t>
  </si>
  <si>
    <t>85% Dark Bars</t>
  </si>
  <si>
    <t>White Choc</t>
  </si>
  <si>
    <t>Baker's Choco Chips</t>
  </si>
  <si>
    <t>Organic Choco Syrup</t>
  </si>
  <si>
    <t>Caramel Stuffed Bars</t>
  </si>
  <si>
    <t>Manuka Honey Choco</t>
  </si>
  <si>
    <t>70% Dark Bites</t>
  </si>
  <si>
    <t>Smooth Sliky Salty</t>
  </si>
  <si>
    <t>Choco Coated Almonds</t>
  </si>
  <si>
    <t>Peanut Butter Cubes</t>
  </si>
  <si>
    <t>India</t>
  </si>
  <si>
    <t>USA</t>
  </si>
  <si>
    <t>Canada</t>
  </si>
  <si>
    <t>New Zealand</t>
  </si>
  <si>
    <t>Australia</t>
  </si>
  <si>
    <t>UK</t>
  </si>
  <si>
    <t>Ram Mahesh</t>
  </si>
  <si>
    <t>Carla Molina</t>
  </si>
  <si>
    <t>Questions</t>
  </si>
  <si>
    <t>Quick statistics</t>
  </si>
  <si>
    <t>Sales by country (with formulas)</t>
  </si>
  <si>
    <t>Sales by country (with pivots)</t>
  </si>
  <si>
    <t>Dynamic country-level Sales Report</t>
  </si>
  <si>
    <t>Which products to discontinue?</t>
  </si>
  <si>
    <t>Best Sales person by country</t>
  </si>
  <si>
    <t>Units</t>
  </si>
  <si>
    <t>Cost per unit</t>
  </si>
  <si>
    <t>Profits by product (using products table) - See column Y</t>
  </si>
  <si>
    <t>Exploratory Data Analysis (EDA) with CF</t>
  </si>
  <si>
    <t>Top 5 products by $ per unit</t>
  </si>
  <si>
    <t>Are there any anomalies in the data?</t>
  </si>
  <si>
    <r>
      <rPr>
        <b/>
        <sz val="28"/>
        <color theme="1"/>
        <rFont val="Segoe UI Light"/>
        <family val="2"/>
      </rPr>
      <t>1</t>
    </r>
    <r>
      <rPr>
        <sz val="28"/>
        <color theme="1"/>
        <rFont val="Segoe UI Light"/>
        <family val="2"/>
      </rPr>
      <t xml:space="preserve"> Quick Data Analysis</t>
    </r>
  </si>
  <si>
    <t>Amounts</t>
  </si>
  <si>
    <t>Average</t>
  </si>
  <si>
    <t>Median</t>
  </si>
  <si>
    <t>Min.</t>
  </si>
  <si>
    <t>Max.</t>
  </si>
  <si>
    <t>Range</t>
  </si>
  <si>
    <t>First Q</t>
  </si>
  <si>
    <t>Third Q</t>
  </si>
  <si>
    <r>
      <rPr>
        <b/>
        <sz val="28"/>
        <color theme="1"/>
        <rFont val="Segoe UI Light"/>
        <family val="2"/>
      </rPr>
      <t>3</t>
    </r>
    <r>
      <rPr>
        <sz val="28"/>
        <color theme="1"/>
        <rFont val="Segoe UI Light"/>
        <family val="2"/>
      </rPr>
      <t xml:space="preserve"> Sales by Country (with formulas)</t>
    </r>
  </si>
  <si>
    <t xml:space="preserve">Country </t>
  </si>
  <si>
    <t xml:space="preserve">Amounts </t>
  </si>
  <si>
    <t>4 Sales by Country (with Pivots)</t>
  </si>
  <si>
    <t>Row Labels</t>
  </si>
  <si>
    <t>Sum of Amount</t>
  </si>
  <si>
    <t>Sum of Units</t>
  </si>
  <si>
    <t xml:space="preserve"> </t>
  </si>
  <si>
    <r>
      <rPr>
        <b/>
        <sz val="28"/>
        <color theme="1"/>
        <rFont val="Segoe UI Light"/>
        <family val="2"/>
      </rPr>
      <t>5</t>
    </r>
    <r>
      <rPr>
        <sz val="28"/>
        <color theme="1"/>
        <rFont val="Segoe UI Light"/>
        <family val="2"/>
      </rPr>
      <t xml:space="preserve"> Top 5 products by $ per unit</t>
    </r>
  </si>
  <si>
    <t>Grand Total</t>
  </si>
  <si>
    <t>kkkkkkkk</t>
  </si>
  <si>
    <t>Sales Per Unit</t>
  </si>
  <si>
    <t>Microsoft Excel Data Analysis Project</t>
  </si>
  <si>
    <r>
      <rPr>
        <b/>
        <sz val="28"/>
        <color theme="1"/>
        <rFont val="Segoe UI Light"/>
        <family val="2"/>
      </rPr>
      <t xml:space="preserve">6 </t>
    </r>
    <r>
      <rPr>
        <sz val="28"/>
        <color theme="1"/>
        <rFont val="Segoe UI Light"/>
        <family val="2"/>
      </rPr>
      <t>Best And Lowest Sales person by country</t>
    </r>
  </si>
  <si>
    <t>Cost Per Unit</t>
  </si>
  <si>
    <t>Cost</t>
  </si>
  <si>
    <r>
      <rPr>
        <b/>
        <sz val="28"/>
        <color theme="1"/>
        <rFont val="Segoe UI Light"/>
        <family val="2"/>
      </rPr>
      <t xml:space="preserve">7 </t>
    </r>
    <r>
      <rPr>
        <sz val="28"/>
        <color theme="1"/>
        <rFont val="Segoe UI Light"/>
        <family val="2"/>
      </rPr>
      <t>Profits by Product (Using Product Table)</t>
    </r>
  </si>
  <si>
    <t>Total Profit</t>
  </si>
  <si>
    <t>Pick A Country</t>
  </si>
  <si>
    <t>Quick Summary</t>
  </si>
  <si>
    <t>Number of Transactions</t>
  </si>
  <si>
    <t xml:space="preserve">Total </t>
  </si>
  <si>
    <t>Sales</t>
  </si>
  <si>
    <t>Profit</t>
  </si>
  <si>
    <t>Quantitiy</t>
  </si>
  <si>
    <t>By Sales Person</t>
  </si>
  <si>
    <t>Profit %</t>
  </si>
  <si>
    <t>9 Which Products to discontinue ?</t>
  </si>
  <si>
    <t>8 Dynamic Country-level Sales Report</t>
  </si>
  <si>
    <r>
      <rPr>
        <b/>
        <sz val="28"/>
        <color theme="1"/>
        <rFont val="Segoe UI Light"/>
        <family val="2"/>
      </rPr>
      <t>2</t>
    </r>
    <r>
      <rPr>
        <sz val="28"/>
        <color theme="1"/>
        <rFont val="Segoe UI Light"/>
        <family val="2"/>
      </rPr>
      <t xml:space="preserve"> Exploratory Data Anylysis (EDA) with CF</t>
    </r>
  </si>
  <si>
    <t>What to 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</si>
</sst>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 #,##0;[Red]&quot;₹&quot;\ \-#,##0"/>
    <numFmt numFmtId="164" formatCode="&quot;$&quot;#,##0_);[Red]\(&quot;$&quot;#,##0\)"/>
    <numFmt numFmtId="165" formatCode="&quot;$&quot;#,##0.00_);[Red]\(&quot;$&quot;#,##0.00\)"/>
    <numFmt numFmtId="166" formatCode="0%;\-0%;0%"/>
    <numFmt numFmtId="167" formatCode="[$$-409]#,##0.00"/>
  </numFmts>
  <fonts count="10" x14ac:knownFonts="1">
    <font>
      <sz val="11"/>
      <color theme="1"/>
      <name val="Calibri"/>
      <family val="2"/>
      <scheme val="minor"/>
    </font>
    <font>
      <sz val="28"/>
      <color theme="1"/>
      <name val="Segoe UI Light"/>
      <family val="2"/>
    </font>
    <font>
      <b/>
      <sz val="11"/>
      <color theme="1"/>
      <name val="Calibri"/>
      <family val="2"/>
      <scheme val="minor"/>
    </font>
    <font>
      <b/>
      <sz val="28"/>
      <color theme="1"/>
      <name val="Segoe UI Light"/>
      <family val="2"/>
    </font>
    <font>
      <sz val="8"/>
      <name val="Calibri"/>
      <family val="2"/>
      <scheme val="minor"/>
    </font>
    <font>
      <sz val="11"/>
      <name val="Calibri"/>
      <family val="2"/>
      <scheme val="minor"/>
    </font>
    <font>
      <b/>
      <sz val="12"/>
      <color theme="1"/>
      <name val="Calibri"/>
      <family val="2"/>
      <scheme val="minor"/>
    </font>
    <font>
      <sz val="14"/>
      <color theme="1"/>
      <name val="Calibri"/>
      <family val="2"/>
      <scheme val="minor"/>
    </font>
    <font>
      <b/>
      <i/>
      <sz val="11"/>
      <color theme="1"/>
      <name val="Calibri"/>
      <family val="2"/>
      <scheme val="minor"/>
    </font>
    <font>
      <sz val="11"/>
      <color theme="1" tint="0.249977111117893"/>
      <name val="Calibri"/>
      <family val="2"/>
      <scheme val="minor"/>
    </font>
  </fonts>
  <fills count="14">
    <fill>
      <patternFill patternType="none"/>
    </fill>
    <fill>
      <patternFill patternType="gray125"/>
    </fill>
    <fill>
      <patternFill patternType="solid">
        <fgColor theme="2"/>
        <bgColor indexed="64"/>
      </patternFill>
    </fill>
    <fill>
      <patternFill patternType="solid">
        <fgColor theme="9" tint="-0.499984740745262"/>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9" tint="0.59999389629810485"/>
        <bgColor theme="9" tint="0.59999389629810485"/>
      </patternFill>
    </fill>
    <fill>
      <patternFill patternType="solid">
        <fgColor theme="9" tint="0.79998168889431442"/>
        <bgColor theme="9" tint="0.79998168889431442"/>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9"/>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tint="-0.14999847407452621"/>
        <bgColor indexed="64"/>
      </patternFill>
    </fill>
  </fills>
  <borders count="10">
    <border>
      <left/>
      <right/>
      <top/>
      <bottom/>
      <diagonal/>
    </border>
    <border>
      <left/>
      <right/>
      <top style="dotted">
        <color theme="0" tint="-0.24994659260841701"/>
      </top>
      <bottom style="dotted">
        <color theme="0" tint="-0.24994659260841701"/>
      </bottom>
      <diagonal/>
    </border>
    <border>
      <left/>
      <right/>
      <top style="thin">
        <color theme="9"/>
      </top>
      <bottom style="thin">
        <color theme="9"/>
      </bottom>
      <diagonal/>
    </border>
    <border>
      <left/>
      <right/>
      <top/>
      <bottom style="thin">
        <color theme="9"/>
      </bottom>
      <diagonal/>
    </border>
    <border>
      <left/>
      <right/>
      <top style="thin">
        <color theme="9" tint="-0.24994659260841701"/>
      </top>
      <bottom style="thin">
        <color theme="9" tint="-0.24994659260841701"/>
      </bottom>
      <diagonal/>
    </border>
    <border>
      <left style="thin">
        <color theme="0"/>
      </left>
      <right style="thin">
        <color theme="0"/>
      </right>
      <top style="thin">
        <color theme="0"/>
      </top>
      <bottom style="thin">
        <color theme="0"/>
      </bottom>
      <diagonal/>
    </border>
    <border>
      <left/>
      <right/>
      <top/>
      <bottom style="dotted">
        <color theme="0" tint="-0.24994659260841701"/>
      </bottom>
      <diagonal/>
    </border>
    <border>
      <left/>
      <right/>
      <top/>
      <bottom style="thin">
        <color indexed="64"/>
      </bottom>
      <diagonal/>
    </border>
    <border>
      <left/>
      <right/>
      <top/>
      <bottom style="hair">
        <color auto="1"/>
      </bottom>
      <diagonal/>
    </border>
    <border>
      <left/>
      <right/>
      <top style="hair">
        <color auto="1"/>
      </top>
      <bottom style="hair">
        <color auto="1"/>
      </bottom>
      <diagonal/>
    </border>
  </borders>
  <cellStyleXfs count="1">
    <xf numFmtId="0" fontId="0" fillId="0" borderId="0"/>
  </cellStyleXfs>
  <cellXfs count="69">
    <xf numFmtId="0" fontId="0" fillId="0" borderId="0" xfId="0"/>
    <xf numFmtId="0" fontId="0" fillId="2" borderId="0" xfId="0" applyFill="1"/>
    <xf numFmtId="164" fontId="0" fillId="0" borderId="0" xfId="0" applyNumberFormat="1"/>
    <xf numFmtId="3" fontId="0" fillId="0" borderId="0" xfId="0" applyNumberFormat="1"/>
    <xf numFmtId="0" fontId="2" fillId="0" borderId="0" xfId="0" applyFont="1"/>
    <xf numFmtId="0" fontId="2" fillId="0" borderId="1" xfId="0" applyFont="1" applyBorder="1"/>
    <xf numFmtId="0" fontId="0" fillId="0" borderId="1" xfId="0" applyBorder="1"/>
    <xf numFmtId="0" fontId="2" fillId="0" borderId="0" xfId="0" applyFont="1" applyAlignment="1">
      <alignment horizontal="right"/>
    </xf>
    <xf numFmtId="165" fontId="0" fillId="0" borderId="0" xfId="0" applyNumberFormat="1"/>
    <xf numFmtId="0" fontId="0" fillId="2" borderId="0" xfId="0" applyFill="1" applyAlignment="1">
      <alignment vertical="center"/>
    </xf>
    <xf numFmtId="0" fontId="0" fillId="3" borderId="0" xfId="0" applyFill="1"/>
    <xf numFmtId="0" fontId="0" fillId="4" borderId="0" xfId="0" applyFill="1"/>
    <xf numFmtId="0" fontId="1" fillId="4" borderId="0" xfId="0" applyFont="1" applyFill="1" applyAlignment="1">
      <alignment vertical="center"/>
    </xf>
    <xf numFmtId="0" fontId="0" fillId="3" borderId="0" xfId="0" applyFill="1" applyAlignment="1">
      <alignment vertical="center"/>
    </xf>
    <xf numFmtId="0" fontId="0" fillId="4" borderId="0" xfId="0" applyFill="1" applyAlignment="1">
      <alignment vertical="center"/>
    </xf>
    <xf numFmtId="6" fontId="0" fillId="0" borderId="0" xfId="0" applyNumberFormat="1"/>
    <xf numFmtId="0" fontId="2" fillId="5" borderId="4" xfId="0" applyFont="1" applyFill="1" applyBorder="1" applyAlignment="1">
      <alignment horizontal="left" vertical="center"/>
    </xf>
    <xf numFmtId="0" fontId="2" fillId="5" borderId="4" xfId="0" applyFont="1" applyFill="1" applyBorder="1" applyAlignment="1">
      <alignment horizontal="right" vertical="center"/>
    </xf>
    <xf numFmtId="0" fontId="2" fillId="0" borderId="3" xfId="0" applyFont="1" applyBorder="1"/>
    <xf numFmtId="0" fontId="2" fillId="0" borderId="2" xfId="0" applyFont="1" applyBorder="1"/>
    <xf numFmtId="0" fontId="0" fillId="0" borderId="0" xfId="0" pivotButton="1"/>
    <xf numFmtId="0" fontId="5" fillId="0" borderId="0" xfId="0" applyFont="1" applyAlignment="1">
      <alignment horizontal="left"/>
    </xf>
    <xf numFmtId="0" fontId="5" fillId="0" borderId="0" xfId="0" applyNumberFormat="1" applyFont="1"/>
    <xf numFmtId="0" fontId="0" fillId="6" borderId="5" xfId="0" applyFont="1" applyFill="1" applyBorder="1"/>
    <xf numFmtId="0" fontId="0" fillId="7" borderId="5" xfId="0" applyFont="1" applyFill="1" applyBorder="1"/>
    <xf numFmtId="0" fontId="0" fillId="0" borderId="0" xfId="0" applyAlignment="1">
      <alignment horizontal="left"/>
    </xf>
    <xf numFmtId="0" fontId="0" fillId="0" borderId="0" xfId="0" applyNumberFormat="1"/>
    <xf numFmtId="0" fontId="5" fillId="0" borderId="0" xfId="0" applyFont="1"/>
    <xf numFmtId="0" fontId="0" fillId="0" borderId="0" xfId="0" applyAlignment="1">
      <alignment horizontal="left" indent="1"/>
    </xf>
    <xf numFmtId="0" fontId="6" fillId="0" borderId="0" xfId="0" applyFont="1"/>
    <xf numFmtId="0" fontId="0" fillId="0" borderId="0" xfId="0" applyAlignment="1">
      <alignment horizontal="center"/>
    </xf>
    <xf numFmtId="0" fontId="0" fillId="8" borderId="0" xfId="0" applyFill="1"/>
    <xf numFmtId="0" fontId="0" fillId="0" borderId="9" xfId="0" applyBorder="1"/>
    <xf numFmtId="0" fontId="8" fillId="0" borderId="9" xfId="0" applyFont="1" applyBorder="1"/>
    <xf numFmtId="0" fontId="0" fillId="4" borderId="8" xfId="0" applyFill="1" applyBorder="1"/>
    <xf numFmtId="0" fontId="2" fillId="4" borderId="8" xfId="0" applyFont="1" applyFill="1" applyBorder="1"/>
    <xf numFmtId="0" fontId="6" fillId="0" borderId="9" xfId="0" applyFont="1" applyBorder="1"/>
    <xf numFmtId="1" fontId="0" fillId="0" borderId="0" xfId="0" applyNumberFormat="1"/>
    <xf numFmtId="0" fontId="7" fillId="10" borderId="7" xfId="0" applyFont="1" applyFill="1" applyBorder="1"/>
    <xf numFmtId="0" fontId="0" fillId="10" borderId="7" xfId="0" applyFill="1" applyBorder="1"/>
    <xf numFmtId="0" fontId="2" fillId="4" borderId="8" xfId="0" applyFont="1" applyFill="1" applyBorder="1" applyAlignment="1">
      <alignment horizontal="right"/>
    </xf>
    <xf numFmtId="0" fontId="6" fillId="10" borderId="7" xfId="0" applyFont="1" applyFill="1" applyBorder="1" applyAlignment="1"/>
    <xf numFmtId="0" fontId="0" fillId="10" borderId="7" xfId="0" applyFill="1" applyBorder="1" applyAlignment="1"/>
    <xf numFmtId="0" fontId="6" fillId="9" borderId="0" xfId="0" applyFont="1" applyFill="1"/>
    <xf numFmtId="166" fontId="0" fillId="0" borderId="0" xfId="0" applyNumberFormat="1"/>
    <xf numFmtId="167" fontId="0" fillId="0" borderId="0" xfId="0" applyNumberFormat="1"/>
    <xf numFmtId="164" fontId="0" fillId="0" borderId="3" xfId="0" applyNumberFormat="1" applyFont="1" applyBorder="1"/>
    <xf numFmtId="164" fontId="0" fillId="0" borderId="2" xfId="0" applyNumberFormat="1" applyFont="1" applyBorder="1"/>
    <xf numFmtId="164" fontId="5" fillId="0" borderId="0" xfId="0" applyNumberFormat="1" applyFont="1"/>
    <xf numFmtId="165" fontId="0" fillId="12" borderId="0" xfId="0" applyNumberFormat="1" applyFill="1"/>
    <xf numFmtId="0" fontId="0" fillId="12" borderId="0" xfId="0" applyFill="1"/>
    <xf numFmtId="165" fontId="0" fillId="13" borderId="0" xfId="0" applyNumberFormat="1" applyFill="1"/>
    <xf numFmtId="0" fontId="0" fillId="13" borderId="0" xfId="0" applyFill="1"/>
    <xf numFmtId="0" fontId="0" fillId="4" borderId="9" xfId="0" applyFill="1" applyBorder="1"/>
    <xf numFmtId="0" fontId="2" fillId="4" borderId="9" xfId="0" applyFont="1" applyFill="1" applyBorder="1" applyAlignment="1">
      <alignment horizontal="right"/>
    </xf>
    <xf numFmtId="0" fontId="2" fillId="11" borderId="0" xfId="0" applyFont="1" applyFill="1"/>
    <xf numFmtId="0" fontId="2" fillId="0" borderId="0" xfId="0" applyFont="1" applyAlignment="1">
      <alignment horizontal="center"/>
    </xf>
    <xf numFmtId="3" fontId="9" fillId="0" borderId="3" xfId="0" applyNumberFormat="1" applyFont="1" applyBorder="1"/>
    <xf numFmtId="3" fontId="9" fillId="0" borderId="2" xfId="0" applyNumberFormat="1" applyFont="1" applyBorder="1"/>
    <xf numFmtId="0" fontId="6" fillId="2" borderId="0" xfId="0" applyFont="1" applyFill="1" applyAlignment="1">
      <alignment horizontal="center"/>
    </xf>
    <xf numFmtId="0" fontId="0" fillId="5" borderId="1" xfId="0" applyFill="1" applyBorder="1"/>
    <xf numFmtId="0" fontId="2" fillId="5" borderId="1" xfId="0" applyFont="1" applyFill="1" applyBorder="1"/>
    <xf numFmtId="0" fontId="1" fillId="4" borderId="0" xfId="0" applyFont="1" applyFill="1" applyAlignment="1">
      <alignment horizontal="center" vertical="center"/>
    </xf>
    <xf numFmtId="0" fontId="6" fillId="8" borderId="6" xfId="0" applyFont="1" applyFill="1" applyBorder="1" applyAlignment="1">
      <alignment horizontal="left"/>
    </xf>
    <xf numFmtId="0" fontId="1" fillId="4" borderId="0" xfId="0" applyFont="1" applyFill="1" applyAlignment="1">
      <alignment horizontal="left" vertical="center"/>
    </xf>
    <xf numFmtId="0" fontId="6" fillId="8" borderId="0" xfId="0" applyFont="1" applyFill="1" applyBorder="1" applyAlignment="1">
      <alignment horizontal="center"/>
    </xf>
    <xf numFmtId="0" fontId="0" fillId="4" borderId="0" xfId="0" applyFill="1" applyAlignment="1">
      <alignment horizontal="center" vertical="center"/>
    </xf>
    <xf numFmtId="0" fontId="2" fillId="5" borderId="4" xfId="0" applyFont="1" applyFill="1" applyBorder="1" applyAlignment="1">
      <alignment horizontal="center" vertical="center"/>
    </xf>
    <xf numFmtId="0" fontId="3" fillId="4" borderId="0" xfId="0" applyFont="1" applyFill="1" applyAlignment="1">
      <alignment horizontal="center" vertical="center"/>
    </xf>
  </cellXfs>
  <cellStyles count="1">
    <cellStyle name="Normal" xfId="0" builtinId="0"/>
  </cellStyles>
  <dxfs count="17">
    <dxf>
      <numFmt numFmtId="164" formatCode="&quot;$&quot;#,##0_);[Red]\(&quot;$&quot;#,##0\)"/>
    </dxf>
    <dxf>
      <numFmt numFmtId="167" formatCode="[$$-409]#,##0.00"/>
    </dxf>
    <dxf>
      <numFmt numFmtId="165" formatCode="&quot;$&quot;#,##0.00_);[Red]\(&quot;$&quot;#,##0.00\)"/>
    </dxf>
    <dxf>
      <numFmt numFmtId="165" formatCode="&quot;$&quot;#,##0.00_);[Red]\(&quot;$&quot;#,##0.00\)"/>
    </dxf>
    <dxf>
      <numFmt numFmtId="164" formatCode="&quot;$&quot;#,##0_);[Red]\(&quot;$&quot;#,##0\)"/>
    </dxf>
    <dxf>
      <numFmt numFmtId="164" formatCode="&quot;$&quot;#,##0_);[Red]\(&quot;$&quot;#,##0\)"/>
    </dxf>
    <dxf>
      <numFmt numFmtId="165" formatCode="&quot;$&quot;#,##0.00_);[Red]\(&quot;$&quot;#,##0.00\)"/>
    </dxf>
    <dxf>
      <numFmt numFmtId="164" formatCode="&quot;$&quot;#,##0_);[Red]\(&quot;$&quot;#,##0\)"/>
    </dxf>
    <dxf>
      <font>
        <color auto="1"/>
      </font>
    </dxf>
    <dxf>
      <font>
        <color auto="1"/>
      </font>
    </dxf>
    <dxf>
      <numFmt numFmtId="3" formatCode="#,##0"/>
    </dxf>
    <dxf>
      <numFmt numFmtId="164" formatCode="&quot;$&quot;#,##0_);[Red]\(&quot;$&quot;#,##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3" formatCode="#,##0"/>
    </dxf>
    <dxf>
      <numFmt numFmtId="164" formatCode="&quot;$&quot;#,##0_);[Red]\(&quot;$&quot;#,##0\)"/>
    </dxf>
    <dxf>
      <font>
        <b/>
        <i val="0"/>
        <strike val="0"/>
        <condense val="0"/>
        <extend val="0"/>
        <outline val="0"/>
        <shadow val="0"/>
        <u val="none"/>
        <vertAlign val="baseline"/>
        <sz val="11"/>
        <color theme="1"/>
        <name val="Calibri"/>
        <family val="2"/>
        <scheme val="minor"/>
      </font>
    </dxf>
    <dxf>
      <numFmt numFmtId="165" formatCode="&quot;$&quot;#,##0.00_);[Red]\(&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onnections" Target="connections.xml"/></Relationships>
</file>

<file path=xl/drawings/drawing1.xml><?xml version="1.0" encoding="utf-8"?>
<xdr:wsDr xmlns:xdr="http://schemas.openxmlformats.org/drawingml/2006/spreadsheetDrawing" xmlns:a="http://schemas.openxmlformats.org/drawingml/2006/main">
  <xdr:twoCellAnchor editAs="oneCell">
    <xdr:from>
      <xdr:col>7</xdr:col>
      <xdr:colOff>209550</xdr:colOff>
      <xdr:row>2</xdr:row>
      <xdr:rowOff>57151</xdr:rowOff>
    </xdr:from>
    <xdr:to>
      <xdr:col>15</xdr:col>
      <xdr:colOff>114300</xdr:colOff>
      <xdr:row>12</xdr:row>
      <xdr:rowOff>1</xdr:rowOff>
    </xdr:to>
    <mc:AlternateContent xmlns:mc="http://schemas.openxmlformats.org/markup-compatibility/2006" xmlns:a14="http://schemas.microsoft.com/office/drawing/2010/main">
      <mc:Choice Requires="a14">
        <xdr:graphicFrame macro="">
          <xdr:nvGraphicFramePr>
            <xdr:cNvPr id="2" name="Sales Person">
              <a:extLst>
                <a:ext uri="{FF2B5EF4-FFF2-40B4-BE49-F238E27FC236}">
                  <a16:creationId xmlns:a16="http://schemas.microsoft.com/office/drawing/2014/main" id="{E0A0F4DB-4507-478C-8A3F-64C0A23F9453}"/>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4533900" y="914401"/>
              <a:ext cx="2819400" cy="1847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9525</xdr:colOff>
      <xdr:row>2</xdr:row>
      <xdr:rowOff>28576</xdr:rowOff>
    </xdr:from>
    <xdr:to>
      <xdr:col>7</xdr:col>
      <xdr:colOff>504825</xdr:colOff>
      <xdr:row>12</xdr:row>
      <xdr:rowOff>123826</xdr:rowOff>
    </xdr:to>
    <mc:AlternateContent xmlns:mc="http://schemas.openxmlformats.org/markup-compatibility/2006" xmlns:a14="http://schemas.microsoft.com/office/drawing/2010/main">
      <mc:Choice Requires="a14">
        <xdr:graphicFrame macro="">
          <xdr:nvGraphicFramePr>
            <xdr:cNvPr id="2" name="Geography">
              <a:extLst>
                <a:ext uri="{FF2B5EF4-FFF2-40B4-BE49-F238E27FC236}">
                  <a16:creationId xmlns:a16="http://schemas.microsoft.com/office/drawing/2014/main" id="{4358A370-2440-473F-86F0-202A17BC1C0B}"/>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mlns="">
        <xdr:sp macro="" textlink="">
          <xdr:nvSpPr>
            <xdr:cNvPr id="0" name=""/>
            <xdr:cNvSpPr>
              <a:spLocks noTextEdit="1"/>
            </xdr:cNvSpPr>
          </xdr:nvSpPr>
          <xdr:spPr>
            <a:xfrm>
              <a:off x="3638550" y="885826"/>
              <a:ext cx="1828800" cy="2000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409574</xdr:colOff>
      <xdr:row>2</xdr:row>
      <xdr:rowOff>28576</xdr:rowOff>
    </xdr:from>
    <xdr:to>
      <xdr:col>10</xdr:col>
      <xdr:colOff>9525</xdr:colOff>
      <xdr:row>12</xdr:row>
      <xdr:rowOff>171450</xdr:rowOff>
    </xdr:to>
    <mc:AlternateContent xmlns:mc="http://schemas.openxmlformats.org/markup-compatibility/2006" xmlns:a14="http://schemas.microsoft.com/office/drawing/2010/main">
      <mc:Choice Requires="a14">
        <xdr:graphicFrame macro="">
          <xdr:nvGraphicFramePr>
            <xdr:cNvPr id="2" name="Geography 1">
              <a:extLst>
                <a:ext uri="{FF2B5EF4-FFF2-40B4-BE49-F238E27FC236}">
                  <a16:creationId xmlns:a16="http://schemas.microsoft.com/office/drawing/2014/main" id="{30CAA38A-B659-4DAC-AF2B-630CA16C689D}"/>
                </a:ext>
              </a:extLst>
            </xdr:cNvPr>
            <xdr:cNvGraphicFramePr/>
          </xdr:nvGraphicFramePr>
          <xdr:xfrm>
            <a:off x="0" y="0"/>
            <a:ext cx="0" cy="0"/>
          </xdr:xfrm>
          <a:graphic>
            <a:graphicData uri="http://schemas.microsoft.com/office/drawing/2010/slicer">
              <sle:slicer xmlns:sle="http://schemas.microsoft.com/office/drawing/2010/slicer" name="Geography 1"/>
            </a:graphicData>
          </a:graphic>
        </xdr:graphicFrame>
      </mc:Choice>
      <mc:Fallback xmlns="">
        <xdr:sp macro="" textlink="">
          <xdr:nvSpPr>
            <xdr:cNvPr id="0" name=""/>
            <xdr:cNvSpPr>
              <a:spLocks noTextEdit="1"/>
            </xdr:cNvSpPr>
          </xdr:nvSpPr>
          <xdr:spPr>
            <a:xfrm>
              <a:off x="5753099" y="885826"/>
              <a:ext cx="1428751" cy="20478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vind" refreshedDate="46022.484994907405" backgroundQuery="1" createdVersion="6" refreshedVersion="6" minRefreshableVersion="3" recordCount="0" supportSubquery="1" supportAdvancedDrill="1" xr:uid="{0837B6D7-C598-4B85-B46F-03BDA5116E36}">
  <cacheSource type="external" connectionId="1"/>
  <cacheFields count="2">
    <cacheField name="[data].[Product].[Product]" caption="Product" numFmtId="0" hierarchy="2" level="1">
      <sharedItems count="5">
        <s v="85% Dark Bars"/>
        <s v="After Nines"/>
        <s v="Baker's Choco Chips"/>
        <s v="Peanut Butter Cubes"/>
        <s v="Raspberry Choco"/>
      </sharedItems>
    </cacheField>
    <cacheField name="[Measures].[Sales Per Unit]" caption="Sales Per Unit" numFmtId="0" hierarchy="11" level="32767"/>
  </cacheFields>
  <cacheHierarchies count="16">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0" memberValueDatatype="130" unbalanced="0"/>
    <cacheHierarchy uniqueName="[data].[Product]" caption="Product" attribute="1" defaultMemberUniqueName="[data].[Product].[All]" allUniqueName="[data].[Product].[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Measures].[Sum of Amount]" caption="Sum of Amount" measure="1" displayFolder="" measureGroup="data" count="0">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Sum of Cost Per Unit]" caption="Sum of Cost Per Unit" measure="1" displayFolder="" measureGroup="data" count="0">
      <extLst>
        <ext xmlns:x15="http://schemas.microsoft.com/office/spreadsheetml/2010/11/main" uri="{B97F6D7D-B522-45F9-BDA1-12C45D357490}">
          <x15:cacheHierarchy aggregatedColumn="5"/>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 count="0" oneField="1">
      <fieldsUsage count="1">
        <fieldUsage x="1"/>
      </fieldsUsage>
    </cacheHierarchy>
    <cacheHierarchy uniqueName="[Measures].[Total Profit]" caption="Total Profit" measure="1" displayFolder="" measureGroup="data" count="0"/>
    <cacheHierarchy uniqueName="[Measures].[Profit %]" caption="Profit %"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vind" refreshedDate="46022.48499675926" backgroundQuery="1" createdVersion="6" refreshedVersion="6" minRefreshableVersion="3" recordCount="0" supportSubquery="1" supportAdvancedDrill="1" xr:uid="{A7C83519-083C-4624-BB43-B86C241AD3F0}">
  <cacheSource type="external" connectionId="1"/>
  <cacheFields count="3">
    <cacheField name="[data].[Product].[Product]" caption="Product" numFmtId="0" hierarchy="2" level="1">
      <sharedItems count="22">
        <s v="50% Dark Bites"/>
        <s v="70% Dark Bites"/>
        <s v="85% Dark Bars"/>
        <s v="99% Dark &amp; Pure"/>
        <s v="After Nines"/>
        <s v="Almond Choco"/>
        <s v="Baker's Choco Chips"/>
        <s v="Caramel Stuffed Bars"/>
        <s v="Choco Coated Almonds"/>
        <s v="Drinking Coco"/>
        <s v="Eclairs"/>
        <s v="Fruit &amp; Nut Bars"/>
        <s v="Manuka Honey Choco"/>
        <s v="Milk Bars"/>
        <s v="Mint Chip Choco"/>
        <s v="Orange Choco"/>
        <s v="Organic Choco Syrup"/>
        <s v="Peanut Butter Cubes"/>
        <s v="Raspberry Choco"/>
        <s v="Smooth Sliky Salty"/>
        <s v="Spicy Special Slims"/>
        <s v="White Choc"/>
      </sharedItems>
    </cacheField>
    <cacheField name="[Measures].[Total Profit]" caption="Total Profit" numFmtId="0" hierarchy="12" level="32767"/>
    <cacheField name="[data].[Geography].[Geography]" caption="Geography" numFmtId="0" hierarchy="1" level="1">
      <sharedItems containsSemiMixedTypes="0" containsNonDate="0" containsString="0"/>
    </cacheField>
  </cacheFields>
  <cacheHierarchies count="16">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2" memberValueDatatype="130" unbalanced="0">
      <fieldsUsage count="2">
        <fieldUsage x="-1"/>
        <fieldUsage x="2"/>
      </fieldsUsage>
    </cacheHierarchy>
    <cacheHierarchy uniqueName="[data].[Product]" caption="Product" attribute="1" defaultMemberUniqueName="[data].[Product].[All]" allUniqueName="[data].[Product].[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Measures].[Sum of Amount]" caption="Sum of Amount" measure="1" displayFolder="" measureGroup="data" count="0">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Sum of Cost Per Unit]" caption="Sum of Cost Per Unit" measure="1" displayFolder="" measureGroup="data" count="0">
      <extLst>
        <ext xmlns:x15="http://schemas.microsoft.com/office/spreadsheetml/2010/11/main" uri="{B97F6D7D-B522-45F9-BDA1-12C45D357490}">
          <x15:cacheHierarchy aggregatedColumn="5"/>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 count="0"/>
    <cacheHierarchy uniqueName="[Measures].[Total Profit]" caption="Total Profit" measure="1" displayFolder="" measureGroup="data" count="0" oneField="1">
      <fieldsUsage count="1">
        <fieldUsage x="1"/>
      </fieldsUsage>
    </cacheHierarchy>
    <cacheHierarchy uniqueName="[Measures].[Profit %]" caption="Profit %"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vind" refreshedDate="46022.484997453706" createdVersion="6" refreshedVersion="6" minRefreshableVersion="3" recordCount="300" xr:uid="{35E914C0-4185-4CA1-ADE8-0D5FA8503DD6}">
  <cacheSource type="worksheet">
    <worksheetSource name="data"/>
  </cacheSource>
  <cacheFields count="7">
    <cacheField name="Sales Person" numFmtId="0">
      <sharedItems count="10">
        <s v="Ram Mahesh"/>
        <s v="Brien Boise"/>
        <s v="Husein Augar"/>
        <s v="Carla Molina"/>
        <s v="Curtice Advani"/>
        <s v="Ches Bonnell"/>
        <s v="Gigi Bohling"/>
        <s v="Barr Faughny"/>
        <s v="Gunar Cockshoot"/>
        <s v="Oby Sorrel"/>
      </sharedItems>
    </cacheField>
    <cacheField name="Geography" numFmtId="0">
      <sharedItems count="6">
        <s v="New Zealand"/>
        <s v="USA"/>
        <s v="Canada"/>
        <s v="UK"/>
        <s v="Australia"/>
        <s v="India"/>
      </sharedItems>
    </cacheField>
    <cacheField name="Product" numFmtId="0">
      <sharedItems/>
    </cacheField>
    <cacheField name="Amount" numFmtId="164">
      <sharedItems containsSemiMixedTypes="0" containsString="0" containsNumber="1" containsInteger="1" minValue="0" maxValue="16184"/>
    </cacheField>
    <cacheField name="Units" numFmtId="3">
      <sharedItems containsSemiMixedTypes="0" containsString="0" containsNumber="1" containsInteger="1" minValue="0" maxValue="525"/>
    </cacheField>
    <cacheField name="Cost Per Unit" numFmtId="167">
      <sharedItems containsSemiMixedTypes="0" containsString="0" containsNumber="1" minValue="3.11" maxValue="16.73"/>
    </cacheField>
    <cacheField name="Cost" numFmtId="167">
      <sharedItems containsSemiMixedTypes="0" containsString="0" containsNumber="1" minValue="0" maxValue="8682.8700000000008"/>
    </cacheField>
  </cacheFields>
  <extLst>
    <ext xmlns:x14="http://schemas.microsoft.com/office/spreadsheetml/2009/9/main" uri="{725AE2AE-9491-48be-B2B4-4EB974FC3084}">
      <x14:pivotCacheDefinition pivotCacheId="369707939"/>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vind" refreshedDate="46022.561975810182" backgroundQuery="1" createdVersion="6" refreshedVersion="6" minRefreshableVersion="3" recordCount="0" supportSubquery="1" supportAdvancedDrill="1" xr:uid="{1E92F36A-BA75-4FBB-9C30-FB45BD3EBD21}">
  <cacheSource type="external" connectionId="1"/>
  <cacheFields count="5">
    <cacheField name="[data].[Product].[Product]" caption="Product" numFmtId="0" hierarchy="2" level="1">
      <sharedItems count="22">
        <s v="50% Dark Bites"/>
        <s v="70% Dark Bites"/>
        <s v="85% Dark Bars"/>
        <s v="99% Dark &amp; Pure"/>
        <s v="After Nines"/>
        <s v="Almond Choco"/>
        <s v="Baker's Choco Chips"/>
        <s v="Caramel Stuffed Bars"/>
        <s v="Choco Coated Almonds"/>
        <s v="Drinking Coco"/>
        <s v="Eclairs"/>
        <s v="Fruit &amp; Nut Bars"/>
        <s v="Manuka Honey Choco"/>
        <s v="Milk Bars"/>
        <s v="Mint Chip Choco"/>
        <s v="Orange Choco"/>
        <s v="Organic Choco Syrup"/>
        <s v="Peanut Butter Cubes"/>
        <s v="Raspberry Choco"/>
        <s v="Smooth Sliky Salty"/>
        <s v="Spicy Special Slims"/>
        <s v="White Choc"/>
      </sharedItems>
    </cacheField>
    <cacheField name="[Measures].[Sum of Amount]" caption="Sum of Amount" numFmtId="0" hierarchy="7" level="32767"/>
    <cacheField name="[Measures].[Total Profit]" caption="Total Profit" numFmtId="0" hierarchy="12" level="32767"/>
    <cacheField name="[Measures].[Sum of Units]" caption="Sum of Units" numFmtId="0" hierarchy="8" level="32767"/>
    <cacheField name="[Measures].[Profit %]" caption="Profit %" numFmtId="0" hierarchy="13" level="32767"/>
  </cacheFields>
  <cacheHierarchies count="16">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2" memberValueDatatype="130" unbalanced="0"/>
    <cacheHierarchy uniqueName="[data].[Product]" caption="Product" attribute="1" defaultMemberUniqueName="[data].[Product].[All]" allUniqueName="[data].[Product].[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Measures].[Sum of Amount]" caption="Sum of Amount" measure="1" displayFolder="" measureGroup="data" count="0" oneField="1">
      <fieldsUsage count="1">
        <fieldUsage x="1"/>
      </fieldsUsage>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oneField="1">
      <fieldsUsage count="1">
        <fieldUsage x="3"/>
      </fieldsUsage>
      <extLst>
        <ext xmlns:x15="http://schemas.microsoft.com/office/spreadsheetml/2010/11/main" uri="{B97F6D7D-B522-45F9-BDA1-12C45D357490}">
          <x15:cacheHierarchy aggregatedColumn="4"/>
        </ext>
      </extLst>
    </cacheHierarchy>
    <cacheHierarchy uniqueName="[Measures].[Sum of Cost Per Unit]" caption="Sum of Cost Per Unit" measure="1" displayFolder="" measureGroup="data" count="0">
      <extLst>
        <ext xmlns:x15="http://schemas.microsoft.com/office/spreadsheetml/2010/11/main" uri="{B97F6D7D-B522-45F9-BDA1-12C45D357490}">
          <x15:cacheHierarchy aggregatedColumn="5"/>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 count="0"/>
    <cacheHierarchy uniqueName="[Measures].[Total Profit]" caption="Total Profit" measure="1" displayFolder="" measureGroup="data" count="0" oneField="1">
      <fieldsUsage count="1">
        <fieldUsage x="2"/>
      </fieldsUsage>
    </cacheHierarchy>
    <cacheHierarchy uniqueName="[Measures].[Profit %]" caption="Profit %" measure="1" displayFolder="" measureGroup="data" count="0" oneField="1">
      <fieldsUsage count="1">
        <fieldUsage x="4"/>
      </fieldsUsage>
    </cacheHierarchy>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vind" refreshedDate="46022.484988425924" backgroundQuery="1" createdVersion="3" refreshedVersion="6" minRefreshableVersion="3" recordCount="0" supportSubquery="1" supportAdvancedDrill="1" xr:uid="{2777EAB0-2256-42B0-9AE8-9EA077FCBB4E}">
  <cacheSource type="external" connectionId="1">
    <extLst>
      <ext xmlns:x14="http://schemas.microsoft.com/office/spreadsheetml/2009/9/main" uri="{F057638F-6D5F-4e77-A914-E7F072B9BCA8}">
        <x14:sourceConnection name="ThisWorkbookDataModel"/>
      </ext>
    </extLst>
  </cacheSource>
  <cacheFields count="0"/>
  <cacheHierarchies count="16">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2" memberValueDatatype="130" unbalanced="0"/>
    <cacheHierarchy uniqueName="[data].[Product]" caption="Product" attribute="1" defaultMemberUniqueName="[data].[Product].[All]" allUniqueName="[data].[Product].[All]" dimensionUniqueName="[data]" displayFolder="" count="0" memberValueDatatype="130" unbalanced="0"/>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Measures].[Sum of Amount]" caption="Sum of Amount" measure="1" displayFolder="" measureGroup="data" count="0">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Sum of Cost Per Unit]" caption="Sum of Cost Per Unit" measure="1" displayFolder="" measureGroup="data" count="0">
      <extLst>
        <ext xmlns:x15="http://schemas.microsoft.com/office/spreadsheetml/2010/11/main" uri="{B97F6D7D-B522-45F9-BDA1-12C45D357490}">
          <x15:cacheHierarchy aggregatedColumn="5"/>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 count="0"/>
    <cacheHierarchy uniqueName="[Measures].[Total Profit]" caption="Total Profit" measure="1" displayFolder="" measureGroup="data" count="0"/>
    <cacheHierarchy uniqueName="[Measures].[Profit %]" caption="Profit %"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11496133"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vind" refreshedDate="46022.484995833336" backgroundQuery="1" createdVersion="3" refreshedVersion="6" minRefreshableVersion="3" recordCount="0" supportSubquery="1" supportAdvancedDrill="1" xr:uid="{D83395BD-B38C-4CEB-82C3-6FA7049F39CF}">
  <cacheSource type="external" connectionId="1">
    <extLst>
      <ext xmlns:x14="http://schemas.microsoft.com/office/spreadsheetml/2009/9/main" uri="{F057638F-6D5F-4e77-A914-E7F072B9BCA8}">
        <x14:sourceConnection name="ThisWorkbookDataModel"/>
      </ext>
    </extLst>
  </cacheSource>
  <cacheFields count="0"/>
  <cacheHierarchies count="16">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2" memberValueDatatype="130" unbalanced="0"/>
    <cacheHierarchy uniqueName="[data].[Product]" caption="Product" attribute="1" defaultMemberUniqueName="[data].[Product].[All]" allUniqueName="[data].[Product].[All]" dimensionUniqueName="[data]" displayFolder="" count="0" memberValueDatatype="130" unbalanced="0"/>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Measures].[Sum of Amount]" caption="Sum of Amount" measure="1" displayFolder="" measureGroup="data" count="0">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Sum of Cost Per Unit]" caption="Sum of Cost Per Unit" measure="1" displayFolder="" measureGroup="data" count="0">
      <extLst>
        <ext xmlns:x15="http://schemas.microsoft.com/office/spreadsheetml/2010/11/main" uri="{B97F6D7D-B522-45F9-BDA1-12C45D357490}">
          <x15:cacheHierarchy aggregatedColumn="5"/>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 count="0"/>
    <cacheHierarchy uniqueName="[Measures].[Total Profit]" caption="Total Profit" measure="1" displayFolder="" measureGroup="data" count="0"/>
    <cacheHierarchy uniqueName="[Measures].[Profit %]" caption="Profit %"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1240520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s v="70% Dark Bites"/>
    <n v="1624"/>
    <n v="114"/>
    <n v="14.49"/>
    <n v="1651.8600000000001"/>
  </r>
  <r>
    <x v="1"/>
    <x v="1"/>
    <s v="Choco Coated Almonds"/>
    <n v="6706"/>
    <n v="459"/>
    <n v="8.65"/>
    <n v="3970.3500000000004"/>
  </r>
  <r>
    <x v="2"/>
    <x v="1"/>
    <s v="Almond Choco"/>
    <n v="959"/>
    <n v="147"/>
    <n v="11.88"/>
    <n v="1746.3600000000001"/>
  </r>
  <r>
    <x v="3"/>
    <x v="2"/>
    <s v="Drinking Coco"/>
    <n v="9632"/>
    <n v="288"/>
    <n v="6.47"/>
    <n v="1863.36"/>
  </r>
  <r>
    <x v="4"/>
    <x v="3"/>
    <s v="White Choc"/>
    <n v="2100"/>
    <n v="414"/>
    <n v="13.15"/>
    <n v="5444.1"/>
  </r>
  <r>
    <x v="0"/>
    <x v="1"/>
    <s v="Peanut Butter Cubes"/>
    <n v="8869"/>
    <n v="432"/>
    <n v="12.37"/>
    <n v="5343.8399999999992"/>
  </r>
  <r>
    <x v="4"/>
    <x v="4"/>
    <s v="Smooth Sliky Salty"/>
    <n v="2681"/>
    <n v="54"/>
    <n v="5.79"/>
    <n v="312.66000000000003"/>
  </r>
  <r>
    <x v="1"/>
    <x v="1"/>
    <s v="After Nines"/>
    <n v="5012"/>
    <n v="210"/>
    <n v="9.77"/>
    <n v="2051.6999999999998"/>
  </r>
  <r>
    <x v="5"/>
    <x v="4"/>
    <s v="50% Dark Bites"/>
    <n v="1281"/>
    <n v="75"/>
    <n v="11.7"/>
    <n v="877.5"/>
  </r>
  <r>
    <x v="6"/>
    <x v="0"/>
    <s v="50% Dark Bites"/>
    <n v="4991"/>
    <n v="12"/>
    <n v="11.7"/>
    <n v="140.39999999999998"/>
  </r>
  <r>
    <x v="7"/>
    <x v="3"/>
    <s v="White Choc"/>
    <n v="1785"/>
    <n v="462"/>
    <n v="13.15"/>
    <n v="6075.3"/>
  </r>
  <r>
    <x v="8"/>
    <x v="0"/>
    <s v="Eclairs"/>
    <n v="3983"/>
    <n v="144"/>
    <n v="3.11"/>
    <n v="447.84"/>
  </r>
  <r>
    <x v="2"/>
    <x v="4"/>
    <s v="Mint Chip Choco"/>
    <n v="2646"/>
    <n v="120"/>
    <n v="8.7899999999999991"/>
    <n v="1054.8"/>
  </r>
  <r>
    <x v="7"/>
    <x v="5"/>
    <s v="Milk Bars"/>
    <n v="252"/>
    <n v="54"/>
    <n v="9.33"/>
    <n v="503.82"/>
  </r>
  <r>
    <x v="8"/>
    <x v="1"/>
    <s v="White Choc"/>
    <n v="2464"/>
    <n v="234"/>
    <n v="13.15"/>
    <n v="3077.1"/>
  </r>
  <r>
    <x v="8"/>
    <x v="1"/>
    <s v="Manuka Honey Choco"/>
    <n v="2114"/>
    <n v="66"/>
    <n v="7.16"/>
    <n v="472.56"/>
  </r>
  <r>
    <x v="4"/>
    <x v="0"/>
    <s v="Smooth Sliky Salty"/>
    <n v="7693"/>
    <n v="87"/>
    <n v="5.79"/>
    <n v="503.73"/>
  </r>
  <r>
    <x v="6"/>
    <x v="5"/>
    <s v="Orange Choco"/>
    <n v="15610"/>
    <n v="339"/>
    <n v="10.62"/>
    <n v="3600.18"/>
  </r>
  <r>
    <x v="3"/>
    <x v="5"/>
    <s v="After Nines"/>
    <n v="336"/>
    <n v="144"/>
    <n v="9.77"/>
    <n v="1406.8799999999999"/>
  </r>
  <r>
    <x v="7"/>
    <x v="3"/>
    <s v="Orange Choco"/>
    <n v="9443"/>
    <n v="162"/>
    <n v="10.62"/>
    <n v="1720.4399999999998"/>
  </r>
  <r>
    <x v="2"/>
    <x v="5"/>
    <s v="Fruit &amp; Nut Bars"/>
    <n v="8155"/>
    <n v="90"/>
    <n v="6.49"/>
    <n v="584.1"/>
  </r>
  <r>
    <x v="1"/>
    <x v="4"/>
    <s v="Fruit &amp; Nut Bars"/>
    <n v="1701"/>
    <n v="234"/>
    <n v="6.49"/>
    <n v="1518.66"/>
  </r>
  <r>
    <x v="9"/>
    <x v="4"/>
    <s v="After Nines"/>
    <n v="2205"/>
    <n v="141"/>
    <n v="9.77"/>
    <n v="1377.57"/>
  </r>
  <r>
    <x v="1"/>
    <x v="0"/>
    <s v="99% Dark &amp; Pure"/>
    <n v="1771"/>
    <n v="204"/>
    <n v="7.64"/>
    <n v="1558.56"/>
  </r>
  <r>
    <x v="3"/>
    <x v="1"/>
    <s v="Raspberry Choco"/>
    <n v="2114"/>
    <n v="186"/>
    <n v="11.73"/>
    <n v="2181.7800000000002"/>
  </r>
  <r>
    <x v="3"/>
    <x v="2"/>
    <s v="Milk Bars"/>
    <n v="10311"/>
    <n v="231"/>
    <n v="9.33"/>
    <n v="2155.23"/>
  </r>
  <r>
    <x v="8"/>
    <x v="3"/>
    <s v="Mint Chip Choco"/>
    <n v="21"/>
    <n v="168"/>
    <n v="8.7899999999999991"/>
    <n v="1476.7199999999998"/>
  </r>
  <r>
    <x v="9"/>
    <x v="1"/>
    <s v="Orange Choco"/>
    <n v="1974"/>
    <n v="195"/>
    <n v="10.62"/>
    <n v="2070.8999999999996"/>
  </r>
  <r>
    <x v="6"/>
    <x v="2"/>
    <s v="Fruit &amp; Nut Bars"/>
    <n v="6314"/>
    <n v="15"/>
    <n v="6.49"/>
    <n v="97.350000000000009"/>
  </r>
  <r>
    <x v="9"/>
    <x v="0"/>
    <s v="Fruit &amp; Nut Bars"/>
    <n v="4683"/>
    <n v="30"/>
    <n v="6.49"/>
    <n v="194.70000000000002"/>
  </r>
  <r>
    <x v="3"/>
    <x v="0"/>
    <s v="85% Dark Bars"/>
    <n v="6398"/>
    <n v="102"/>
    <n v="4.97"/>
    <n v="506.94"/>
  </r>
  <r>
    <x v="7"/>
    <x v="1"/>
    <s v="99% Dark &amp; Pure"/>
    <n v="553"/>
    <n v="15"/>
    <n v="7.64"/>
    <n v="114.6"/>
  </r>
  <r>
    <x v="1"/>
    <x v="3"/>
    <s v="70% Dark Bites"/>
    <n v="7021"/>
    <n v="183"/>
    <n v="14.49"/>
    <n v="2651.67"/>
  </r>
  <r>
    <x v="0"/>
    <x v="3"/>
    <s v="After Nines"/>
    <n v="5817"/>
    <n v="12"/>
    <n v="9.77"/>
    <n v="117.24"/>
  </r>
  <r>
    <x v="3"/>
    <x v="3"/>
    <s v="50% Dark Bites"/>
    <n v="3976"/>
    <n v="72"/>
    <n v="11.7"/>
    <n v="842.4"/>
  </r>
  <r>
    <x v="4"/>
    <x v="4"/>
    <s v="Organic Choco Syrup"/>
    <n v="1134"/>
    <n v="282"/>
    <n v="16.73"/>
    <n v="4717.8599999999997"/>
  </r>
  <r>
    <x v="7"/>
    <x v="3"/>
    <s v="Caramel Stuffed Bars"/>
    <n v="6027"/>
    <n v="144"/>
    <n v="10.38"/>
    <n v="1494.72"/>
  </r>
  <r>
    <x v="4"/>
    <x v="0"/>
    <s v="Mint Chip Choco"/>
    <n v="1904"/>
    <n v="405"/>
    <n v="8.7899999999999991"/>
    <n v="3559.95"/>
  </r>
  <r>
    <x v="5"/>
    <x v="5"/>
    <s v="Choco Coated Almonds"/>
    <n v="3262"/>
    <n v="75"/>
    <n v="8.65"/>
    <n v="648.75"/>
  </r>
  <r>
    <x v="0"/>
    <x v="5"/>
    <s v="Organic Choco Syrup"/>
    <n v="2289"/>
    <n v="135"/>
    <n v="16.73"/>
    <n v="2258.5500000000002"/>
  </r>
  <r>
    <x v="6"/>
    <x v="5"/>
    <s v="Organic Choco Syrup"/>
    <n v="6986"/>
    <n v="21"/>
    <n v="16.73"/>
    <n v="351.33"/>
  </r>
  <r>
    <x v="7"/>
    <x v="4"/>
    <s v="Fruit &amp; Nut Bars"/>
    <n v="4417"/>
    <n v="153"/>
    <n v="6.49"/>
    <n v="992.97"/>
  </r>
  <r>
    <x v="4"/>
    <x v="5"/>
    <s v="Raspberry Choco"/>
    <n v="1442"/>
    <n v="15"/>
    <n v="11.73"/>
    <n v="175.95000000000002"/>
  </r>
  <r>
    <x v="8"/>
    <x v="1"/>
    <s v="50% Dark Bites"/>
    <n v="2415"/>
    <n v="255"/>
    <n v="11.7"/>
    <n v="2983.5"/>
  </r>
  <r>
    <x v="7"/>
    <x v="0"/>
    <s v="99% Dark &amp; Pure"/>
    <n v="238"/>
    <n v="18"/>
    <n v="7.64"/>
    <n v="137.51999999999998"/>
  </r>
  <r>
    <x v="4"/>
    <x v="0"/>
    <s v="Fruit &amp; Nut Bars"/>
    <n v="4949"/>
    <n v="189"/>
    <n v="6.49"/>
    <n v="1226.6100000000001"/>
  </r>
  <r>
    <x v="6"/>
    <x v="4"/>
    <s v="Choco Coated Almonds"/>
    <n v="5075"/>
    <n v="21"/>
    <n v="8.65"/>
    <n v="181.65"/>
  </r>
  <r>
    <x v="8"/>
    <x v="2"/>
    <s v="Mint Chip Choco"/>
    <n v="9198"/>
    <n v="36"/>
    <n v="8.7899999999999991"/>
    <n v="316.43999999999994"/>
  </r>
  <r>
    <x v="4"/>
    <x v="5"/>
    <s v="Manuka Honey Choco"/>
    <n v="3339"/>
    <n v="75"/>
    <n v="7.16"/>
    <n v="537"/>
  </r>
  <r>
    <x v="0"/>
    <x v="5"/>
    <s v="Eclairs"/>
    <n v="5019"/>
    <n v="156"/>
    <n v="3.11"/>
    <n v="485.15999999999997"/>
  </r>
  <r>
    <x v="6"/>
    <x v="2"/>
    <s v="Mint Chip Choco"/>
    <n v="16184"/>
    <n v="39"/>
    <n v="8.7899999999999991"/>
    <n v="342.80999999999995"/>
  </r>
  <r>
    <x v="4"/>
    <x v="2"/>
    <s v="Spicy Special Slims"/>
    <n v="497"/>
    <n v="63"/>
    <n v="9"/>
    <n v="567"/>
  </r>
  <r>
    <x v="7"/>
    <x v="2"/>
    <s v="Manuka Honey Choco"/>
    <n v="8211"/>
    <n v="75"/>
    <n v="7.16"/>
    <n v="537"/>
  </r>
  <r>
    <x v="7"/>
    <x v="4"/>
    <s v="Caramel Stuffed Bars"/>
    <n v="6580"/>
    <n v="183"/>
    <n v="10.38"/>
    <n v="1899.5400000000002"/>
  </r>
  <r>
    <x v="3"/>
    <x v="1"/>
    <s v="Milk Bars"/>
    <n v="4760"/>
    <n v="69"/>
    <n v="9.33"/>
    <n v="643.77"/>
  </r>
  <r>
    <x v="0"/>
    <x v="2"/>
    <s v="White Choc"/>
    <n v="5439"/>
    <n v="30"/>
    <n v="13.15"/>
    <n v="394.5"/>
  </r>
  <r>
    <x v="3"/>
    <x v="5"/>
    <s v="Eclairs"/>
    <n v="1463"/>
    <n v="39"/>
    <n v="3.11"/>
    <n v="121.28999999999999"/>
  </r>
  <r>
    <x v="8"/>
    <x v="5"/>
    <s v="Choco Coated Almonds"/>
    <n v="7777"/>
    <n v="504"/>
    <n v="8.65"/>
    <n v="4359.6000000000004"/>
  </r>
  <r>
    <x v="2"/>
    <x v="0"/>
    <s v="Manuka Honey Choco"/>
    <n v="1085"/>
    <n v="273"/>
    <n v="7.16"/>
    <n v="1954.68"/>
  </r>
  <r>
    <x v="6"/>
    <x v="0"/>
    <s v="Smooth Sliky Salty"/>
    <n v="182"/>
    <n v="48"/>
    <n v="5.79"/>
    <n v="277.92"/>
  </r>
  <r>
    <x v="4"/>
    <x v="5"/>
    <s v="Organic Choco Syrup"/>
    <n v="4242"/>
    <n v="207"/>
    <n v="16.73"/>
    <n v="3463.11"/>
  </r>
  <r>
    <x v="4"/>
    <x v="2"/>
    <s v="Choco Coated Almonds"/>
    <n v="6118"/>
    <n v="9"/>
    <n v="8.65"/>
    <n v="77.850000000000009"/>
  </r>
  <r>
    <x v="9"/>
    <x v="2"/>
    <s v="Fruit &amp; Nut Bars"/>
    <n v="2317"/>
    <n v="261"/>
    <n v="6.49"/>
    <n v="1693.89"/>
  </r>
  <r>
    <x v="4"/>
    <x v="4"/>
    <s v="Mint Chip Choco"/>
    <n v="938"/>
    <n v="6"/>
    <n v="8.7899999999999991"/>
    <n v="52.739999999999995"/>
  </r>
  <r>
    <x v="1"/>
    <x v="0"/>
    <s v="Raspberry Choco"/>
    <n v="9709"/>
    <n v="30"/>
    <n v="11.73"/>
    <n v="351.90000000000003"/>
  </r>
  <r>
    <x v="5"/>
    <x v="5"/>
    <s v="Orange Choco"/>
    <n v="2205"/>
    <n v="138"/>
    <n v="10.62"/>
    <n v="1465.56"/>
  </r>
  <r>
    <x v="5"/>
    <x v="0"/>
    <s v="Eclairs"/>
    <n v="4487"/>
    <n v="111"/>
    <n v="3.11"/>
    <n v="345.21"/>
  </r>
  <r>
    <x v="6"/>
    <x v="1"/>
    <s v="Drinking Coco"/>
    <n v="2415"/>
    <n v="15"/>
    <n v="6.47"/>
    <n v="97.05"/>
  </r>
  <r>
    <x v="0"/>
    <x v="5"/>
    <s v="99% Dark &amp; Pure"/>
    <n v="4018"/>
    <n v="162"/>
    <n v="7.64"/>
    <n v="1237.6799999999998"/>
  </r>
  <r>
    <x v="6"/>
    <x v="5"/>
    <s v="99% Dark &amp; Pure"/>
    <n v="861"/>
    <n v="195"/>
    <n v="7.64"/>
    <n v="1489.8"/>
  </r>
  <r>
    <x v="9"/>
    <x v="4"/>
    <s v="50% Dark Bites"/>
    <n v="5586"/>
    <n v="525"/>
    <n v="11.7"/>
    <n v="6142.5"/>
  </r>
  <r>
    <x v="5"/>
    <x v="5"/>
    <s v="Peanut Butter Cubes"/>
    <n v="2226"/>
    <n v="48"/>
    <n v="12.37"/>
    <n v="593.76"/>
  </r>
  <r>
    <x v="2"/>
    <x v="5"/>
    <s v="Caramel Stuffed Bars"/>
    <n v="14329"/>
    <n v="150"/>
    <n v="10.38"/>
    <n v="1557.0000000000002"/>
  </r>
  <r>
    <x v="2"/>
    <x v="5"/>
    <s v="Orange Choco"/>
    <n v="8463"/>
    <n v="492"/>
    <n v="10.62"/>
    <n v="5225.04"/>
  </r>
  <r>
    <x v="6"/>
    <x v="5"/>
    <s v="Manuka Honey Choco"/>
    <n v="2891"/>
    <n v="102"/>
    <n v="7.16"/>
    <n v="730.32"/>
  </r>
  <r>
    <x v="8"/>
    <x v="2"/>
    <s v="Fruit &amp; Nut Bars"/>
    <n v="3773"/>
    <n v="165"/>
    <n v="6.49"/>
    <n v="1070.8500000000001"/>
  </r>
  <r>
    <x v="3"/>
    <x v="2"/>
    <s v="Caramel Stuffed Bars"/>
    <n v="854"/>
    <n v="309"/>
    <n v="10.38"/>
    <n v="3207.42"/>
  </r>
  <r>
    <x v="4"/>
    <x v="2"/>
    <s v="Eclairs"/>
    <n v="4970"/>
    <n v="156"/>
    <n v="3.11"/>
    <n v="485.15999999999997"/>
  </r>
  <r>
    <x v="2"/>
    <x v="1"/>
    <s v="Baker's Choco Chips"/>
    <n v="98"/>
    <n v="159"/>
    <n v="5.6"/>
    <n v="890.4"/>
  </r>
  <r>
    <x v="6"/>
    <x v="1"/>
    <s v="Raspberry Choco"/>
    <n v="13391"/>
    <n v="201"/>
    <n v="11.73"/>
    <n v="2357.73"/>
  </r>
  <r>
    <x v="1"/>
    <x v="3"/>
    <s v="Smooth Sliky Salty"/>
    <n v="8890"/>
    <n v="210"/>
    <n v="5.79"/>
    <n v="1215.9000000000001"/>
  </r>
  <r>
    <x v="7"/>
    <x v="4"/>
    <s v="Milk Bars"/>
    <n v="56"/>
    <n v="51"/>
    <n v="9.33"/>
    <n v="475.83"/>
  </r>
  <r>
    <x v="8"/>
    <x v="2"/>
    <s v="White Choc"/>
    <n v="3339"/>
    <n v="39"/>
    <n v="13.15"/>
    <n v="512.85"/>
  </r>
  <r>
    <x v="9"/>
    <x v="1"/>
    <s v="Drinking Coco"/>
    <n v="3808"/>
    <n v="279"/>
    <n v="6.47"/>
    <n v="1805.1299999999999"/>
  </r>
  <r>
    <x v="9"/>
    <x v="4"/>
    <s v="Milk Bars"/>
    <n v="63"/>
    <n v="123"/>
    <n v="9.33"/>
    <n v="1147.5899999999999"/>
  </r>
  <r>
    <x v="7"/>
    <x v="3"/>
    <s v="Organic Choco Syrup"/>
    <n v="7812"/>
    <n v="81"/>
    <n v="16.73"/>
    <n v="1355.13"/>
  </r>
  <r>
    <x v="0"/>
    <x v="0"/>
    <s v="99% Dark &amp; Pure"/>
    <n v="7693"/>
    <n v="21"/>
    <n v="7.64"/>
    <n v="160.44"/>
  </r>
  <r>
    <x v="8"/>
    <x v="2"/>
    <s v="Caramel Stuffed Bars"/>
    <n v="973"/>
    <n v="162"/>
    <n v="10.38"/>
    <n v="1681.5600000000002"/>
  </r>
  <r>
    <x v="9"/>
    <x v="1"/>
    <s v="Spicy Special Slims"/>
    <n v="567"/>
    <n v="228"/>
    <n v="9"/>
    <n v="2052"/>
  </r>
  <r>
    <x v="9"/>
    <x v="2"/>
    <s v="Manuka Honey Choco"/>
    <n v="2471"/>
    <n v="342"/>
    <n v="7.16"/>
    <n v="2448.7200000000003"/>
  </r>
  <r>
    <x v="6"/>
    <x v="4"/>
    <s v="Milk Bars"/>
    <n v="7189"/>
    <n v="54"/>
    <n v="9.33"/>
    <n v="503.82"/>
  </r>
  <r>
    <x v="3"/>
    <x v="1"/>
    <s v="Caramel Stuffed Bars"/>
    <n v="7455"/>
    <n v="216"/>
    <n v="10.38"/>
    <n v="2242.0800000000004"/>
  </r>
  <r>
    <x v="8"/>
    <x v="5"/>
    <s v="Baker's Choco Chips"/>
    <n v="3108"/>
    <n v="54"/>
    <n v="5.6"/>
    <n v="302.39999999999998"/>
  </r>
  <r>
    <x v="4"/>
    <x v="4"/>
    <s v="White Choc"/>
    <n v="469"/>
    <n v="75"/>
    <n v="13.15"/>
    <n v="986.25"/>
  </r>
  <r>
    <x v="2"/>
    <x v="0"/>
    <s v="Fruit &amp; Nut Bars"/>
    <n v="2737"/>
    <n v="93"/>
    <n v="6.49"/>
    <n v="603.57000000000005"/>
  </r>
  <r>
    <x v="2"/>
    <x v="0"/>
    <s v="White Choc"/>
    <n v="4305"/>
    <n v="156"/>
    <n v="13.15"/>
    <n v="2051.4"/>
  </r>
  <r>
    <x v="2"/>
    <x v="4"/>
    <s v="Eclairs"/>
    <n v="2408"/>
    <n v="9"/>
    <n v="3.11"/>
    <n v="27.99"/>
  </r>
  <r>
    <x v="8"/>
    <x v="2"/>
    <s v="99% Dark &amp; Pure"/>
    <n v="1281"/>
    <n v="18"/>
    <n v="7.64"/>
    <n v="137.51999999999998"/>
  </r>
  <r>
    <x v="0"/>
    <x v="1"/>
    <s v="Choco Coated Almonds"/>
    <n v="12348"/>
    <n v="234"/>
    <n v="8.65"/>
    <n v="2024.1000000000001"/>
  </r>
  <r>
    <x v="8"/>
    <x v="5"/>
    <s v="Caramel Stuffed Bars"/>
    <n v="3689"/>
    <n v="312"/>
    <n v="10.38"/>
    <n v="3238.5600000000004"/>
  </r>
  <r>
    <x v="5"/>
    <x v="2"/>
    <s v="99% Dark &amp; Pure"/>
    <n v="2870"/>
    <n v="300"/>
    <n v="7.64"/>
    <n v="2292"/>
  </r>
  <r>
    <x v="7"/>
    <x v="2"/>
    <s v="Organic Choco Syrup"/>
    <n v="798"/>
    <n v="519"/>
    <n v="16.73"/>
    <n v="8682.8700000000008"/>
  </r>
  <r>
    <x v="3"/>
    <x v="0"/>
    <s v="Spicy Special Slims"/>
    <n v="2933"/>
    <n v="9"/>
    <n v="9"/>
    <n v="81"/>
  </r>
  <r>
    <x v="6"/>
    <x v="1"/>
    <s v="Almond Choco"/>
    <n v="2744"/>
    <n v="9"/>
    <n v="11.88"/>
    <n v="106.92"/>
  </r>
  <r>
    <x v="0"/>
    <x v="2"/>
    <s v="Peanut Butter Cubes"/>
    <n v="9772"/>
    <n v="90"/>
    <n v="12.37"/>
    <n v="1113.3"/>
  </r>
  <r>
    <x v="5"/>
    <x v="5"/>
    <s v="White Choc"/>
    <n v="1568"/>
    <n v="96"/>
    <n v="13.15"/>
    <n v="1262.4000000000001"/>
  </r>
  <r>
    <x v="7"/>
    <x v="2"/>
    <s v="Mint Chip Choco"/>
    <n v="11417"/>
    <n v="21"/>
    <n v="8.7899999999999991"/>
    <n v="184.58999999999997"/>
  </r>
  <r>
    <x v="0"/>
    <x v="5"/>
    <s v="Baker's Choco Chips"/>
    <n v="6748"/>
    <n v="48"/>
    <n v="5.6"/>
    <n v="268.79999999999995"/>
  </r>
  <r>
    <x v="9"/>
    <x v="2"/>
    <s v="Organic Choco Syrup"/>
    <n v="1407"/>
    <n v="72"/>
    <n v="16.73"/>
    <n v="1204.56"/>
  </r>
  <r>
    <x v="1"/>
    <x v="1"/>
    <s v="Manuka Honey Choco"/>
    <n v="2023"/>
    <n v="168"/>
    <n v="7.16"/>
    <n v="1202.8800000000001"/>
  </r>
  <r>
    <x v="6"/>
    <x v="3"/>
    <s v="Baker's Choco Chips"/>
    <n v="5236"/>
    <n v="51"/>
    <n v="5.6"/>
    <n v="285.59999999999997"/>
  </r>
  <r>
    <x v="3"/>
    <x v="2"/>
    <s v="99% Dark &amp; Pure"/>
    <n v="1925"/>
    <n v="192"/>
    <n v="7.64"/>
    <n v="1466.8799999999999"/>
  </r>
  <r>
    <x v="5"/>
    <x v="0"/>
    <s v="50% Dark Bites"/>
    <n v="6608"/>
    <n v="225"/>
    <n v="11.7"/>
    <n v="2632.5"/>
  </r>
  <r>
    <x v="4"/>
    <x v="5"/>
    <s v="Baker's Choco Chips"/>
    <n v="8008"/>
    <n v="456"/>
    <n v="5.6"/>
    <n v="2553.6"/>
  </r>
  <r>
    <x v="9"/>
    <x v="5"/>
    <s v="White Choc"/>
    <n v="1428"/>
    <n v="93"/>
    <n v="13.15"/>
    <n v="1222.95"/>
  </r>
  <r>
    <x v="4"/>
    <x v="5"/>
    <s v="Almond Choco"/>
    <n v="525"/>
    <n v="48"/>
    <n v="11.88"/>
    <n v="570.24"/>
  </r>
  <r>
    <x v="4"/>
    <x v="0"/>
    <s v="Drinking Coco"/>
    <n v="1505"/>
    <n v="102"/>
    <n v="6.47"/>
    <n v="659.93999999999994"/>
  </r>
  <r>
    <x v="5"/>
    <x v="1"/>
    <s v="70% Dark Bites"/>
    <n v="6755"/>
    <n v="252"/>
    <n v="14.49"/>
    <n v="3651.48"/>
  </r>
  <r>
    <x v="7"/>
    <x v="0"/>
    <s v="Drinking Coco"/>
    <n v="11571"/>
    <n v="138"/>
    <n v="6.47"/>
    <n v="892.86"/>
  </r>
  <r>
    <x v="0"/>
    <x v="4"/>
    <s v="White Choc"/>
    <n v="2541"/>
    <n v="90"/>
    <n v="13.15"/>
    <n v="1183.5"/>
  </r>
  <r>
    <x v="3"/>
    <x v="0"/>
    <s v="70% Dark Bites"/>
    <n v="1526"/>
    <n v="240"/>
    <n v="14.49"/>
    <n v="3477.6"/>
  </r>
  <r>
    <x v="0"/>
    <x v="4"/>
    <s v="Almond Choco"/>
    <n v="6125"/>
    <n v="102"/>
    <n v="11.88"/>
    <n v="1211.76"/>
  </r>
  <r>
    <x v="3"/>
    <x v="1"/>
    <s v="Organic Choco Syrup"/>
    <n v="847"/>
    <n v="129"/>
    <n v="16.73"/>
    <n v="2158.17"/>
  </r>
  <r>
    <x v="1"/>
    <x v="1"/>
    <s v="Organic Choco Syrup"/>
    <n v="4753"/>
    <n v="300"/>
    <n v="16.73"/>
    <n v="5019"/>
  </r>
  <r>
    <x v="4"/>
    <x v="4"/>
    <s v="Peanut Butter Cubes"/>
    <n v="959"/>
    <n v="135"/>
    <n v="12.37"/>
    <n v="1669.9499999999998"/>
  </r>
  <r>
    <x v="5"/>
    <x v="1"/>
    <s v="85% Dark Bars"/>
    <n v="2793"/>
    <n v="114"/>
    <n v="4.97"/>
    <n v="566.57999999999993"/>
  </r>
  <r>
    <x v="5"/>
    <x v="1"/>
    <s v="50% Dark Bites"/>
    <n v="4606"/>
    <n v="63"/>
    <n v="11.7"/>
    <n v="737.09999999999991"/>
  </r>
  <r>
    <x v="5"/>
    <x v="2"/>
    <s v="Manuka Honey Choco"/>
    <n v="5551"/>
    <n v="252"/>
    <n v="7.16"/>
    <n v="1804.32"/>
  </r>
  <r>
    <x v="9"/>
    <x v="2"/>
    <s v="Choco Coated Almonds"/>
    <n v="6657"/>
    <n v="303"/>
    <n v="8.65"/>
    <n v="2620.9500000000003"/>
  </r>
  <r>
    <x v="5"/>
    <x v="3"/>
    <s v="Eclairs"/>
    <n v="4438"/>
    <n v="246"/>
    <n v="3.11"/>
    <n v="765.06"/>
  </r>
  <r>
    <x v="1"/>
    <x v="4"/>
    <s v="After Nines"/>
    <n v="168"/>
    <n v="84"/>
    <n v="9.77"/>
    <n v="820.68"/>
  </r>
  <r>
    <x v="5"/>
    <x v="5"/>
    <s v="Eclairs"/>
    <n v="7777"/>
    <n v="39"/>
    <n v="3.11"/>
    <n v="121.28999999999999"/>
  </r>
  <r>
    <x v="6"/>
    <x v="2"/>
    <s v="Eclairs"/>
    <n v="3339"/>
    <n v="348"/>
    <n v="3.11"/>
    <n v="1082.28"/>
  </r>
  <r>
    <x v="5"/>
    <x v="0"/>
    <s v="Peanut Butter Cubes"/>
    <n v="6391"/>
    <n v="48"/>
    <n v="12.37"/>
    <n v="593.76"/>
  </r>
  <r>
    <x v="6"/>
    <x v="0"/>
    <s v="After Nines"/>
    <n v="518"/>
    <n v="75"/>
    <n v="9.77"/>
    <n v="732.75"/>
  </r>
  <r>
    <x v="5"/>
    <x v="4"/>
    <s v="Caramel Stuffed Bars"/>
    <n v="5677"/>
    <n v="258"/>
    <n v="10.38"/>
    <n v="2678.0400000000004"/>
  </r>
  <r>
    <x v="4"/>
    <x v="3"/>
    <s v="Eclairs"/>
    <n v="6048"/>
    <n v="27"/>
    <n v="3.11"/>
    <n v="83.97"/>
  </r>
  <r>
    <x v="1"/>
    <x v="4"/>
    <s v="Choco Coated Almonds"/>
    <n v="3752"/>
    <n v="213"/>
    <n v="8.65"/>
    <n v="1842.45"/>
  </r>
  <r>
    <x v="6"/>
    <x v="1"/>
    <s v="Manuka Honey Choco"/>
    <n v="4480"/>
    <n v="357"/>
    <n v="7.16"/>
    <n v="2556.12"/>
  </r>
  <r>
    <x v="2"/>
    <x v="0"/>
    <s v="Almond Choco"/>
    <n v="259"/>
    <n v="207"/>
    <n v="11.88"/>
    <n v="2459.1600000000003"/>
  </r>
  <r>
    <x v="1"/>
    <x v="0"/>
    <s v="70% Dark Bites"/>
    <n v="42"/>
    <n v="150"/>
    <n v="14.49"/>
    <n v="2173.5"/>
  </r>
  <r>
    <x v="3"/>
    <x v="2"/>
    <s v="Baker's Choco Chips"/>
    <n v="98"/>
    <n v="204"/>
    <n v="5.6"/>
    <n v="1142.3999999999999"/>
  </r>
  <r>
    <x v="5"/>
    <x v="1"/>
    <s v="Organic Choco Syrup"/>
    <n v="2478"/>
    <n v="21"/>
    <n v="16.73"/>
    <n v="351.33"/>
  </r>
  <r>
    <x v="3"/>
    <x v="5"/>
    <s v="Peanut Butter Cubes"/>
    <n v="7847"/>
    <n v="174"/>
    <n v="12.37"/>
    <n v="2152.3799999999997"/>
  </r>
  <r>
    <x v="7"/>
    <x v="0"/>
    <s v="Eclairs"/>
    <n v="9926"/>
    <n v="201"/>
    <n v="3.11"/>
    <n v="625.11"/>
  </r>
  <r>
    <x v="1"/>
    <x v="4"/>
    <s v="Milk Bars"/>
    <n v="819"/>
    <n v="510"/>
    <n v="9.33"/>
    <n v="4758.3"/>
  </r>
  <r>
    <x v="4"/>
    <x v="3"/>
    <s v="Manuka Honey Choco"/>
    <n v="3052"/>
    <n v="378"/>
    <n v="7.16"/>
    <n v="2706.48"/>
  </r>
  <r>
    <x v="2"/>
    <x v="5"/>
    <s v="Spicy Special Slims"/>
    <n v="6832"/>
    <n v="27"/>
    <n v="9"/>
    <n v="243"/>
  </r>
  <r>
    <x v="7"/>
    <x v="3"/>
    <s v="Mint Chip Choco"/>
    <n v="2016"/>
    <n v="117"/>
    <n v="8.7899999999999991"/>
    <n v="1028.4299999999998"/>
  </r>
  <r>
    <x v="4"/>
    <x v="4"/>
    <s v="Spicy Special Slims"/>
    <n v="7322"/>
    <n v="36"/>
    <n v="9"/>
    <n v="324"/>
  </r>
  <r>
    <x v="1"/>
    <x v="1"/>
    <s v="Peanut Butter Cubes"/>
    <n v="357"/>
    <n v="126"/>
    <n v="12.37"/>
    <n v="1558.62"/>
  </r>
  <r>
    <x v="2"/>
    <x v="3"/>
    <s v="White Choc"/>
    <n v="3192"/>
    <n v="72"/>
    <n v="13.15"/>
    <n v="946.80000000000007"/>
  </r>
  <r>
    <x v="5"/>
    <x v="2"/>
    <s v="After Nines"/>
    <n v="8435"/>
    <n v="42"/>
    <n v="9.77"/>
    <n v="410.34"/>
  </r>
  <r>
    <x v="0"/>
    <x v="3"/>
    <s v="Manuka Honey Choco"/>
    <n v="0"/>
    <n v="135"/>
    <n v="7.16"/>
    <n v="966.6"/>
  </r>
  <r>
    <x v="5"/>
    <x v="5"/>
    <s v="85% Dark Bars"/>
    <n v="8862"/>
    <n v="189"/>
    <n v="4.97"/>
    <n v="939.32999999999993"/>
  </r>
  <r>
    <x v="4"/>
    <x v="0"/>
    <s v="Caramel Stuffed Bars"/>
    <n v="3556"/>
    <n v="459"/>
    <n v="10.38"/>
    <n v="4764.42"/>
  </r>
  <r>
    <x v="6"/>
    <x v="5"/>
    <s v="Raspberry Choco"/>
    <n v="7280"/>
    <n v="201"/>
    <n v="11.73"/>
    <n v="2357.73"/>
  </r>
  <r>
    <x v="4"/>
    <x v="5"/>
    <s v="70% Dark Bites"/>
    <n v="3402"/>
    <n v="366"/>
    <n v="14.49"/>
    <n v="5303.34"/>
  </r>
  <r>
    <x v="8"/>
    <x v="0"/>
    <s v="Manuka Honey Choco"/>
    <n v="4592"/>
    <n v="324"/>
    <n v="7.16"/>
    <n v="2319.84"/>
  </r>
  <r>
    <x v="2"/>
    <x v="1"/>
    <s v="Raspberry Choco"/>
    <n v="7833"/>
    <n v="243"/>
    <n v="11.73"/>
    <n v="2850.3900000000003"/>
  </r>
  <r>
    <x v="7"/>
    <x v="3"/>
    <s v="Spicy Special Slims"/>
    <n v="7651"/>
    <n v="213"/>
    <n v="9"/>
    <n v="1917"/>
  </r>
  <r>
    <x v="0"/>
    <x v="1"/>
    <s v="70% Dark Bites"/>
    <n v="2275"/>
    <n v="447"/>
    <n v="14.49"/>
    <n v="6477.03"/>
  </r>
  <r>
    <x v="0"/>
    <x v="4"/>
    <s v="Milk Bars"/>
    <n v="5670"/>
    <n v="297"/>
    <n v="9.33"/>
    <n v="2771.01"/>
  </r>
  <r>
    <x v="5"/>
    <x v="1"/>
    <s v="Mint Chip Choco"/>
    <n v="2135"/>
    <n v="27"/>
    <n v="8.7899999999999991"/>
    <n v="237.32999999999998"/>
  </r>
  <r>
    <x v="0"/>
    <x v="5"/>
    <s v="Fruit &amp; Nut Bars"/>
    <n v="2779"/>
    <n v="75"/>
    <n v="6.49"/>
    <n v="486.75"/>
  </r>
  <r>
    <x v="9"/>
    <x v="3"/>
    <s v="Peanut Butter Cubes"/>
    <n v="12950"/>
    <n v="30"/>
    <n v="12.37"/>
    <n v="371.09999999999997"/>
  </r>
  <r>
    <x v="5"/>
    <x v="2"/>
    <s v="Drinking Coco"/>
    <n v="2646"/>
    <n v="177"/>
    <n v="6.47"/>
    <n v="1145.19"/>
  </r>
  <r>
    <x v="0"/>
    <x v="5"/>
    <s v="Peanut Butter Cubes"/>
    <n v="3794"/>
    <n v="159"/>
    <n v="12.37"/>
    <n v="1966.83"/>
  </r>
  <r>
    <x v="8"/>
    <x v="1"/>
    <s v="Peanut Butter Cubes"/>
    <n v="819"/>
    <n v="306"/>
    <n v="12.37"/>
    <n v="3785.22"/>
  </r>
  <r>
    <x v="8"/>
    <x v="5"/>
    <s v="Orange Choco"/>
    <n v="2583"/>
    <n v="18"/>
    <n v="10.62"/>
    <n v="191.16"/>
  </r>
  <r>
    <x v="5"/>
    <x v="1"/>
    <s v="99% Dark &amp; Pure"/>
    <n v="4585"/>
    <n v="240"/>
    <n v="7.64"/>
    <n v="1833.6"/>
  </r>
  <r>
    <x v="6"/>
    <x v="5"/>
    <s v="Peanut Butter Cubes"/>
    <n v="1652"/>
    <n v="93"/>
    <n v="12.37"/>
    <n v="1150.4099999999999"/>
  </r>
  <r>
    <x v="9"/>
    <x v="5"/>
    <s v="Baker's Choco Chips"/>
    <n v="4991"/>
    <n v="9"/>
    <n v="5.6"/>
    <n v="50.4"/>
  </r>
  <r>
    <x v="1"/>
    <x v="5"/>
    <s v="Mint Chip Choco"/>
    <n v="2009"/>
    <n v="219"/>
    <n v="8.7899999999999991"/>
    <n v="1925.0099999999998"/>
  </r>
  <r>
    <x v="7"/>
    <x v="3"/>
    <s v="After Nines"/>
    <n v="1568"/>
    <n v="141"/>
    <n v="9.77"/>
    <n v="1377.57"/>
  </r>
  <r>
    <x v="3"/>
    <x v="0"/>
    <s v="Orange Choco"/>
    <n v="3388"/>
    <n v="123"/>
    <n v="10.62"/>
    <n v="1306.26"/>
  </r>
  <r>
    <x v="0"/>
    <x v="4"/>
    <s v="85% Dark Bars"/>
    <n v="623"/>
    <n v="51"/>
    <n v="4.97"/>
    <n v="253.47"/>
  </r>
  <r>
    <x v="4"/>
    <x v="2"/>
    <s v="Almond Choco"/>
    <n v="10073"/>
    <n v="120"/>
    <n v="11.88"/>
    <n v="1425.6000000000001"/>
  </r>
  <r>
    <x v="1"/>
    <x v="3"/>
    <s v="Baker's Choco Chips"/>
    <n v="1561"/>
    <n v="27"/>
    <n v="5.6"/>
    <n v="151.19999999999999"/>
  </r>
  <r>
    <x v="2"/>
    <x v="2"/>
    <s v="Organic Choco Syrup"/>
    <n v="11522"/>
    <n v="204"/>
    <n v="16.73"/>
    <n v="3412.92"/>
  </r>
  <r>
    <x v="4"/>
    <x v="4"/>
    <s v="Milk Bars"/>
    <n v="2317"/>
    <n v="123"/>
    <n v="9.33"/>
    <n v="1147.5899999999999"/>
  </r>
  <r>
    <x v="9"/>
    <x v="0"/>
    <s v="Caramel Stuffed Bars"/>
    <n v="3059"/>
    <n v="27"/>
    <n v="10.38"/>
    <n v="280.26000000000005"/>
  </r>
  <r>
    <x v="3"/>
    <x v="0"/>
    <s v="Baker's Choco Chips"/>
    <n v="2324"/>
    <n v="177"/>
    <n v="5.6"/>
    <n v="991.19999999999993"/>
  </r>
  <r>
    <x v="8"/>
    <x v="3"/>
    <s v="Baker's Choco Chips"/>
    <n v="4956"/>
    <n v="171"/>
    <n v="5.6"/>
    <n v="957.59999999999991"/>
  </r>
  <r>
    <x v="9"/>
    <x v="5"/>
    <s v="99% Dark &amp; Pure"/>
    <n v="5355"/>
    <n v="204"/>
    <n v="7.64"/>
    <n v="1558.56"/>
  </r>
  <r>
    <x v="8"/>
    <x v="5"/>
    <s v="50% Dark Bites"/>
    <n v="7259"/>
    <n v="276"/>
    <n v="11.7"/>
    <n v="3229.2"/>
  </r>
  <r>
    <x v="1"/>
    <x v="0"/>
    <s v="Baker's Choco Chips"/>
    <n v="6279"/>
    <n v="45"/>
    <n v="5.6"/>
    <n v="251.99999999999997"/>
  </r>
  <r>
    <x v="0"/>
    <x v="4"/>
    <s v="Manuka Honey Choco"/>
    <n v="2541"/>
    <n v="45"/>
    <n v="7.16"/>
    <n v="322.2"/>
  </r>
  <r>
    <x v="4"/>
    <x v="1"/>
    <s v="Organic Choco Syrup"/>
    <n v="3864"/>
    <n v="177"/>
    <n v="16.73"/>
    <n v="2961.21"/>
  </r>
  <r>
    <x v="6"/>
    <x v="2"/>
    <s v="Milk Bars"/>
    <n v="6146"/>
    <n v="63"/>
    <n v="9.33"/>
    <n v="587.79"/>
  </r>
  <r>
    <x v="2"/>
    <x v="3"/>
    <s v="Drinking Coco"/>
    <n v="2639"/>
    <n v="204"/>
    <n v="6.47"/>
    <n v="1319.8799999999999"/>
  </r>
  <r>
    <x v="1"/>
    <x v="0"/>
    <s v="After Nines"/>
    <n v="1890"/>
    <n v="195"/>
    <n v="9.77"/>
    <n v="1905.1499999999999"/>
  </r>
  <r>
    <x v="5"/>
    <x v="5"/>
    <s v="50% Dark Bites"/>
    <n v="1932"/>
    <n v="369"/>
    <n v="11.7"/>
    <n v="4317.3"/>
  </r>
  <r>
    <x v="8"/>
    <x v="5"/>
    <s v="White Choc"/>
    <n v="6300"/>
    <n v="42"/>
    <n v="13.15"/>
    <n v="552.30000000000007"/>
  </r>
  <r>
    <x v="4"/>
    <x v="0"/>
    <s v="70% Dark Bites"/>
    <n v="560"/>
    <n v="81"/>
    <n v="14.49"/>
    <n v="1173.69"/>
  </r>
  <r>
    <x v="2"/>
    <x v="0"/>
    <s v="Baker's Choco Chips"/>
    <n v="2856"/>
    <n v="246"/>
    <n v="5.6"/>
    <n v="1377.6"/>
  </r>
  <r>
    <x v="2"/>
    <x v="5"/>
    <s v="Eclairs"/>
    <n v="707"/>
    <n v="174"/>
    <n v="3.11"/>
    <n v="541.14"/>
  </r>
  <r>
    <x v="1"/>
    <x v="1"/>
    <s v="70% Dark Bites"/>
    <n v="3598"/>
    <n v="81"/>
    <n v="14.49"/>
    <n v="1173.69"/>
  </r>
  <r>
    <x v="0"/>
    <x v="1"/>
    <s v="After Nines"/>
    <n v="6853"/>
    <n v="372"/>
    <n v="9.77"/>
    <n v="3634.44"/>
  </r>
  <r>
    <x v="0"/>
    <x v="1"/>
    <s v="Mint Chip Choco"/>
    <n v="4725"/>
    <n v="174"/>
    <n v="8.7899999999999991"/>
    <n v="1529.4599999999998"/>
  </r>
  <r>
    <x v="3"/>
    <x v="2"/>
    <s v="Choco Coated Almonds"/>
    <n v="10304"/>
    <n v="84"/>
    <n v="8.65"/>
    <n v="726.6"/>
  </r>
  <r>
    <x v="3"/>
    <x v="5"/>
    <s v="Mint Chip Choco"/>
    <n v="1274"/>
    <n v="225"/>
    <n v="8.7899999999999991"/>
    <n v="1977.7499999999998"/>
  </r>
  <r>
    <x v="6"/>
    <x v="2"/>
    <s v="70% Dark Bites"/>
    <n v="1526"/>
    <n v="105"/>
    <n v="14.49"/>
    <n v="1521.45"/>
  </r>
  <r>
    <x v="0"/>
    <x v="3"/>
    <s v="Caramel Stuffed Bars"/>
    <n v="3101"/>
    <n v="225"/>
    <n v="10.38"/>
    <n v="2335.5"/>
  </r>
  <r>
    <x v="7"/>
    <x v="0"/>
    <s v="50% Dark Bites"/>
    <n v="1057"/>
    <n v="54"/>
    <n v="11.7"/>
    <n v="631.79999999999995"/>
  </r>
  <r>
    <x v="5"/>
    <x v="0"/>
    <s v="Baker's Choco Chips"/>
    <n v="5306"/>
    <n v="0"/>
    <n v="5.6"/>
    <n v="0"/>
  </r>
  <r>
    <x v="6"/>
    <x v="3"/>
    <s v="85% Dark Bars"/>
    <n v="4018"/>
    <n v="171"/>
    <n v="4.97"/>
    <n v="849.87"/>
  </r>
  <r>
    <x v="2"/>
    <x v="5"/>
    <s v="Mint Chip Choco"/>
    <n v="938"/>
    <n v="189"/>
    <n v="8.7899999999999991"/>
    <n v="1661.31"/>
  </r>
  <r>
    <x v="5"/>
    <x v="4"/>
    <s v="Drinking Coco"/>
    <n v="1778"/>
    <n v="270"/>
    <n v="6.47"/>
    <n v="1746.8999999999999"/>
  </r>
  <r>
    <x v="4"/>
    <x v="3"/>
    <s v="70% Dark Bites"/>
    <n v="1638"/>
    <n v="63"/>
    <n v="14.49"/>
    <n v="912.87"/>
  </r>
  <r>
    <x v="3"/>
    <x v="4"/>
    <s v="White Choc"/>
    <n v="154"/>
    <n v="21"/>
    <n v="13.15"/>
    <n v="276.15000000000003"/>
  </r>
  <r>
    <x v="5"/>
    <x v="0"/>
    <s v="After Nines"/>
    <n v="9835"/>
    <n v="207"/>
    <n v="9.77"/>
    <n v="2022.3899999999999"/>
  </r>
  <r>
    <x v="2"/>
    <x v="0"/>
    <s v="Orange Choco"/>
    <n v="7273"/>
    <n v="96"/>
    <n v="10.62"/>
    <n v="1019.52"/>
  </r>
  <r>
    <x v="6"/>
    <x v="3"/>
    <s v="After Nines"/>
    <n v="6909"/>
    <n v="81"/>
    <n v="9.77"/>
    <n v="791.37"/>
  </r>
  <r>
    <x v="2"/>
    <x v="3"/>
    <s v="85% Dark Bars"/>
    <n v="3920"/>
    <n v="306"/>
    <n v="4.97"/>
    <n v="1520.82"/>
  </r>
  <r>
    <x v="9"/>
    <x v="3"/>
    <s v="Spicy Special Slims"/>
    <n v="4858"/>
    <n v="279"/>
    <n v="9"/>
    <n v="2511"/>
  </r>
  <r>
    <x v="7"/>
    <x v="4"/>
    <s v="Almond Choco"/>
    <n v="3549"/>
    <n v="3"/>
    <n v="11.88"/>
    <n v="35.64"/>
  </r>
  <r>
    <x v="5"/>
    <x v="3"/>
    <s v="Organic Choco Syrup"/>
    <n v="966"/>
    <n v="198"/>
    <n v="16.73"/>
    <n v="3312.54"/>
  </r>
  <r>
    <x v="6"/>
    <x v="3"/>
    <s v="Drinking Coco"/>
    <n v="385"/>
    <n v="249"/>
    <n v="6.47"/>
    <n v="1611.03"/>
  </r>
  <r>
    <x v="4"/>
    <x v="5"/>
    <s v="Mint Chip Choco"/>
    <n v="2219"/>
    <n v="75"/>
    <n v="8.7899999999999991"/>
    <n v="659.24999999999989"/>
  </r>
  <r>
    <x v="2"/>
    <x v="2"/>
    <s v="Choco Coated Almonds"/>
    <n v="2954"/>
    <n v="189"/>
    <n v="8.65"/>
    <n v="1634.8500000000001"/>
  </r>
  <r>
    <x v="5"/>
    <x v="2"/>
    <s v="Choco Coated Almonds"/>
    <n v="280"/>
    <n v="87"/>
    <n v="8.65"/>
    <n v="752.55000000000007"/>
  </r>
  <r>
    <x v="3"/>
    <x v="2"/>
    <s v="70% Dark Bites"/>
    <n v="6118"/>
    <n v="174"/>
    <n v="14.49"/>
    <n v="2521.2600000000002"/>
  </r>
  <r>
    <x v="7"/>
    <x v="3"/>
    <s v="Raspberry Choco"/>
    <n v="4802"/>
    <n v="36"/>
    <n v="11.73"/>
    <n v="422.28000000000003"/>
  </r>
  <r>
    <x v="2"/>
    <x v="4"/>
    <s v="85% Dark Bars"/>
    <n v="4137"/>
    <n v="60"/>
    <n v="4.97"/>
    <n v="298.2"/>
  </r>
  <r>
    <x v="8"/>
    <x v="1"/>
    <s v="Fruit &amp; Nut Bars"/>
    <n v="2023"/>
    <n v="78"/>
    <n v="6.49"/>
    <n v="506.22"/>
  </r>
  <r>
    <x v="2"/>
    <x v="2"/>
    <s v="70% Dark Bites"/>
    <n v="9051"/>
    <n v="57"/>
    <n v="14.49"/>
    <n v="825.93000000000006"/>
  </r>
  <r>
    <x v="2"/>
    <x v="0"/>
    <s v="Caramel Stuffed Bars"/>
    <n v="2919"/>
    <n v="45"/>
    <n v="10.38"/>
    <n v="467.1"/>
  </r>
  <r>
    <x v="3"/>
    <x v="4"/>
    <s v="After Nines"/>
    <n v="5915"/>
    <n v="3"/>
    <n v="9.77"/>
    <n v="29.31"/>
  </r>
  <r>
    <x v="9"/>
    <x v="1"/>
    <s v="Raspberry Choco"/>
    <n v="2562"/>
    <n v="6"/>
    <n v="11.73"/>
    <n v="70.38"/>
  </r>
  <r>
    <x v="6"/>
    <x v="0"/>
    <s v="White Choc"/>
    <n v="8813"/>
    <n v="21"/>
    <n v="13.15"/>
    <n v="276.15000000000003"/>
  </r>
  <r>
    <x v="6"/>
    <x v="2"/>
    <s v="Drinking Coco"/>
    <n v="6111"/>
    <n v="3"/>
    <n v="6.47"/>
    <n v="19.41"/>
  </r>
  <r>
    <x v="1"/>
    <x v="5"/>
    <s v="Smooth Sliky Salty"/>
    <n v="3507"/>
    <n v="288"/>
    <n v="5.79"/>
    <n v="1667.52"/>
  </r>
  <r>
    <x v="4"/>
    <x v="2"/>
    <s v="Milk Bars"/>
    <n v="4319"/>
    <n v="30"/>
    <n v="9.33"/>
    <n v="279.89999999999998"/>
  </r>
  <r>
    <x v="0"/>
    <x v="4"/>
    <s v="Baker's Choco Chips"/>
    <n v="609"/>
    <n v="87"/>
    <n v="5.6"/>
    <n v="487.2"/>
  </r>
  <r>
    <x v="0"/>
    <x v="3"/>
    <s v="Organic Choco Syrup"/>
    <n v="6370"/>
    <n v="30"/>
    <n v="16.73"/>
    <n v="501.90000000000003"/>
  </r>
  <r>
    <x v="6"/>
    <x v="4"/>
    <s v="99% Dark &amp; Pure"/>
    <n v="5474"/>
    <n v="168"/>
    <n v="7.64"/>
    <n v="1283.52"/>
  </r>
  <r>
    <x v="0"/>
    <x v="2"/>
    <s v="Organic Choco Syrup"/>
    <n v="3164"/>
    <n v="306"/>
    <n v="16.73"/>
    <n v="5119.38"/>
  </r>
  <r>
    <x v="4"/>
    <x v="1"/>
    <s v="Almond Choco"/>
    <n v="1302"/>
    <n v="402"/>
    <n v="11.88"/>
    <n v="4775.76"/>
  </r>
  <r>
    <x v="8"/>
    <x v="0"/>
    <s v="Caramel Stuffed Bars"/>
    <n v="7308"/>
    <n v="327"/>
    <n v="10.38"/>
    <n v="3394.26"/>
  </r>
  <r>
    <x v="0"/>
    <x v="0"/>
    <s v="Organic Choco Syrup"/>
    <n v="6132"/>
    <n v="93"/>
    <n v="16.73"/>
    <n v="1555.89"/>
  </r>
  <r>
    <x v="9"/>
    <x v="1"/>
    <s v="50% Dark Bites"/>
    <n v="3472"/>
    <n v="96"/>
    <n v="11.7"/>
    <n v="1123.1999999999998"/>
  </r>
  <r>
    <x v="1"/>
    <x v="3"/>
    <s v="Drinking Coco"/>
    <n v="9660"/>
    <n v="27"/>
    <n v="6.47"/>
    <n v="174.69"/>
  </r>
  <r>
    <x v="2"/>
    <x v="4"/>
    <s v="Baker's Choco Chips"/>
    <n v="2436"/>
    <n v="99"/>
    <n v="5.6"/>
    <n v="554.4"/>
  </r>
  <r>
    <x v="2"/>
    <x v="4"/>
    <s v="Peanut Butter Cubes"/>
    <n v="9506"/>
    <n v="87"/>
    <n v="12.37"/>
    <n v="1076.1899999999998"/>
  </r>
  <r>
    <x v="9"/>
    <x v="0"/>
    <s v="Spicy Special Slims"/>
    <n v="245"/>
    <n v="288"/>
    <n v="9"/>
    <n v="2592"/>
  </r>
  <r>
    <x v="1"/>
    <x v="1"/>
    <s v="Orange Choco"/>
    <n v="2702"/>
    <n v="363"/>
    <n v="10.62"/>
    <n v="3855.0599999999995"/>
  </r>
  <r>
    <x v="9"/>
    <x v="5"/>
    <s v="Eclairs"/>
    <n v="700"/>
    <n v="87"/>
    <n v="3.11"/>
    <n v="270.57"/>
  </r>
  <r>
    <x v="4"/>
    <x v="5"/>
    <s v="Eclairs"/>
    <n v="3759"/>
    <n v="150"/>
    <n v="3.11"/>
    <n v="466.5"/>
  </r>
  <r>
    <x v="7"/>
    <x v="1"/>
    <s v="Eclairs"/>
    <n v="1589"/>
    <n v="303"/>
    <n v="3.11"/>
    <n v="942.32999999999993"/>
  </r>
  <r>
    <x v="5"/>
    <x v="1"/>
    <s v="Caramel Stuffed Bars"/>
    <n v="5194"/>
    <n v="288"/>
    <n v="10.38"/>
    <n v="2989.44"/>
  </r>
  <r>
    <x v="9"/>
    <x v="2"/>
    <s v="Milk Bars"/>
    <n v="945"/>
    <n v="75"/>
    <n v="9.33"/>
    <n v="699.75"/>
  </r>
  <r>
    <x v="0"/>
    <x v="4"/>
    <s v="Smooth Sliky Salty"/>
    <n v="1988"/>
    <n v="39"/>
    <n v="5.79"/>
    <n v="225.81"/>
  </r>
  <r>
    <x v="4"/>
    <x v="5"/>
    <s v="Choco Coated Almonds"/>
    <n v="6734"/>
    <n v="123"/>
    <n v="8.65"/>
    <n v="1063.95"/>
  </r>
  <r>
    <x v="0"/>
    <x v="2"/>
    <s v="Almond Choco"/>
    <n v="217"/>
    <n v="36"/>
    <n v="11.88"/>
    <n v="427.68"/>
  </r>
  <r>
    <x v="6"/>
    <x v="5"/>
    <s v="After Nines"/>
    <n v="6279"/>
    <n v="237"/>
    <n v="9.77"/>
    <n v="2315.4899999999998"/>
  </r>
  <r>
    <x v="0"/>
    <x v="2"/>
    <s v="Milk Bars"/>
    <n v="4424"/>
    <n v="201"/>
    <n v="9.33"/>
    <n v="1875.33"/>
  </r>
  <r>
    <x v="7"/>
    <x v="2"/>
    <s v="Eclairs"/>
    <n v="189"/>
    <n v="48"/>
    <n v="3.11"/>
    <n v="149.28"/>
  </r>
  <r>
    <x v="6"/>
    <x v="1"/>
    <s v="After Nines"/>
    <n v="490"/>
    <n v="84"/>
    <n v="9.77"/>
    <n v="820.68"/>
  </r>
  <r>
    <x v="1"/>
    <x v="0"/>
    <s v="Spicy Special Slims"/>
    <n v="434"/>
    <n v="87"/>
    <n v="9"/>
    <n v="783"/>
  </r>
  <r>
    <x v="5"/>
    <x v="4"/>
    <s v="70% Dark Bites"/>
    <n v="10129"/>
    <n v="312"/>
    <n v="14.49"/>
    <n v="4520.88"/>
  </r>
  <r>
    <x v="8"/>
    <x v="3"/>
    <s v="Caramel Stuffed Bars"/>
    <n v="1652"/>
    <n v="102"/>
    <n v="10.38"/>
    <n v="1058.76"/>
  </r>
  <r>
    <x v="1"/>
    <x v="4"/>
    <s v="Spicy Special Slims"/>
    <n v="6433"/>
    <n v="78"/>
    <n v="9"/>
    <n v="702"/>
  </r>
  <r>
    <x v="8"/>
    <x v="5"/>
    <s v="Fruit &amp; Nut Bars"/>
    <n v="2212"/>
    <n v="117"/>
    <n v="6.49"/>
    <n v="759.33"/>
  </r>
  <r>
    <x v="3"/>
    <x v="1"/>
    <s v="99% Dark &amp; Pure"/>
    <n v="609"/>
    <n v="99"/>
    <n v="7.64"/>
    <n v="756.36"/>
  </r>
  <r>
    <x v="0"/>
    <x v="1"/>
    <s v="85% Dark Bars"/>
    <n v="1638"/>
    <n v="48"/>
    <n v="4.97"/>
    <n v="238.56"/>
  </r>
  <r>
    <x v="5"/>
    <x v="5"/>
    <s v="Raspberry Choco"/>
    <n v="3829"/>
    <n v="24"/>
    <n v="11.73"/>
    <n v="281.52"/>
  </r>
  <r>
    <x v="0"/>
    <x v="3"/>
    <s v="Raspberry Choco"/>
    <n v="5775"/>
    <n v="42"/>
    <n v="11.73"/>
    <n v="492.66"/>
  </r>
  <r>
    <x v="4"/>
    <x v="1"/>
    <s v="Orange Choco"/>
    <n v="1071"/>
    <n v="270"/>
    <n v="10.62"/>
    <n v="2867.3999999999996"/>
  </r>
  <r>
    <x v="1"/>
    <x v="2"/>
    <s v="Fruit &amp; Nut Bars"/>
    <n v="5019"/>
    <n v="150"/>
    <n v="6.49"/>
    <n v="973.5"/>
  </r>
  <r>
    <x v="7"/>
    <x v="0"/>
    <s v="Raspberry Choco"/>
    <n v="2863"/>
    <n v="42"/>
    <n v="11.73"/>
    <n v="492.66"/>
  </r>
  <r>
    <x v="0"/>
    <x v="1"/>
    <s v="Manuka Honey Choco"/>
    <n v="1617"/>
    <n v="126"/>
    <n v="7.16"/>
    <n v="902.16"/>
  </r>
  <r>
    <x v="4"/>
    <x v="0"/>
    <s v="Baker's Choco Chips"/>
    <n v="6818"/>
    <n v="6"/>
    <n v="5.6"/>
    <n v="33.599999999999994"/>
  </r>
  <r>
    <x v="8"/>
    <x v="1"/>
    <s v="Raspberry Choco"/>
    <n v="6657"/>
    <n v="276"/>
    <n v="11.73"/>
    <n v="3237.48"/>
  </r>
  <r>
    <x v="8"/>
    <x v="5"/>
    <s v="Eclairs"/>
    <n v="2919"/>
    <n v="93"/>
    <n v="3.11"/>
    <n v="289.22999999999996"/>
  </r>
  <r>
    <x v="7"/>
    <x v="2"/>
    <s v="Smooth Sliky Salty"/>
    <n v="3094"/>
    <n v="246"/>
    <n v="5.79"/>
    <n v="1424.34"/>
  </r>
  <r>
    <x v="4"/>
    <x v="3"/>
    <s v="85% Dark Bars"/>
    <n v="2989"/>
    <n v="3"/>
    <n v="4.97"/>
    <n v="14.91"/>
  </r>
  <r>
    <x v="1"/>
    <x v="4"/>
    <s v="Organic Choco Syrup"/>
    <n v="2268"/>
    <n v="63"/>
    <n v="16.73"/>
    <n v="1053.99"/>
  </r>
  <r>
    <x v="6"/>
    <x v="1"/>
    <s v="Smooth Sliky Salty"/>
    <n v="4753"/>
    <n v="246"/>
    <n v="5.79"/>
    <n v="1424.34"/>
  </r>
  <r>
    <x v="7"/>
    <x v="5"/>
    <s v="99% Dark &amp; Pure"/>
    <n v="7511"/>
    <n v="120"/>
    <n v="7.64"/>
    <n v="916.8"/>
  </r>
  <r>
    <x v="7"/>
    <x v="4"/>
    <s v="Smooth Sliky Salty"/>
    <n v="4326"/>
    <n v="348"/>
    <n v="5.79"/>
    <n v="2014.92"/>
  </r>
  <r>
    <x v="3"/>
    <x v="5"/>
    <s v="Fruit &amp; Nut Bars"/>
    <n v="4935"/>
    <n v="126"/>
    <n v="6.49"/>
    <n v="817.74"/>
  </r>
  <r>
    <x v="4"/>
    <x v="1"/>
    <s v="70% Dark Bites"/>
    <n v="4781"/>
    <n v="123"/>
    <n v="14.49"/>
    <n v="1782.27"/>
  </r>
  <r>
    <x v="6"/>
    <x v="4"/>
    <s v="White Choc"/>
    <n v="7483"/>
    <n v="45"/>
    <n v="13.15"/>
    <n v="591.75"/>
  </r>
  <r>
    <x v="9"/>
    <x v="4"/>
    <s v="Almond Choco"/>
    <n v="6860"/>
    <n v="126"/>
    <n v="11.88"/>
    <n v="1496.88"/>
  </r>
  <r>
    <x v="0"/>
    <x v="0"/>
    <s v="Manuka Honey Choco"/>
    <n v="9002"/>
    <n v="72"/>
    <n v="7.16"/>
    <n v="515.52"/>
  </r>
  <r>
    <x v="4"/>
    <x v="2"/>
    <s v="Manuka Honey Choco"/>
    <n v="1400"/>
    <n v="135"/>
    <n v="7.16"/>
    <n v="966.6"/>
  </r>
  <r>
    <x v="9"/>
    <x v="5"/>
    <s v="After Nines"/>
    <n v="4053"/>
    <n v="24"/>
    <n v="9.77"/>
    <n v="234.48"/>
  </r>
  <r>
    <x v="5"/>
    <x v="2"/>
    <s v="Smooth Sliky Salty"/>
    <n v="2149"/>
    <n v="117"/>
    <n v="5.79"/>
    <n v="677.43"/>
  </r>
  <r>
    <x v="8"/>
    <x v="3"/>
    <s v="Manuka Honey Choco"/>
    <n v="3640"/>
    <n v="51"/>
    <n v="7.16"/>
    <n v="365.16"/>
  </r>
  <r>
    <x v="7"/>
    <x v="3"/>
    <s v="Fruit &amp; Nut Bars"/>
    <n v="630"/>
    <n v="36"/>
    <n v="6.49"/>
    <n v="233.64000000000001"/>
  </r>
  <r>
    <x v="2"/>
    <x v="1"/>
    <s v="Organic Choco Syrup"/>
    <n v="2429"/>
    <n v="144"/>
    <n v="16.73"/>
    <n v="2409.12"/>
  </r>
  <r>
    <x v="2"/>
    <x v="2"/>
    <s v="White Choc"/>
    <n v="2142"/>
    <n v="114"/>
    <n v="13.15"/>
    <n v="1499.1000000000001"/>
  </r>
  <r>
    <x v="5"/>
    <x v="0"/>
    <s v="70% Dark Bites"/>
    <n v="6454"/>
    <n v="54"/>
    <n v="14.49"/>
    <n v="782.46"/>
  </r>
  <r>
    <x v="5"/>
    <x v="0"/>
    <s v="Mint Chip Choco"/>
    <n v="4487"/>
    <n v="333"/>
    <n v="8.7899999999999991"/>
    <n v="2927.0699999999997"/>
  </r>
  <r>
    <x v="8"/>
    <x v="0"/>
    <s v="Almond Choco"/>
    <n v="938"/>
    <n v="366"/>
    <n v="11.88"/>
    <n v="4348.08"/>
  </r>
  <r>
    <x v="8"/>
    <x v="4"/>
    <s v="Baker's Choco Chips"/>
    <n v="8841"/>
    <n v="303"/>
    <n v="5.6"/>
    <n v="1696.8"/>
  </r>
  <r>
    <x v="7"/>
    <x v="3"/>
    <s v="Peanut Butter Cubes"/>
    <n v="4018"/>
    <n v="126"/>
    <n v="12.37"/>
    <n v="1558.62"/>
  </r>
  <r>
    <x v="3"/>
    <x v="0"/>
    <s v="Raspberry Choco"/>
    <n v="714"/>
    <n v="231"/>
    <n v="11.73"/>
    <n v="2709.63"/>
  </r>
  <r>
    <x v="2"/>
    <x v="4"/>
    <s v="White Choc"/>
    <n v="3850"/>
    <n v="102"/>
    <n v="13.15"/>
    <n v="134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EB9CCD-F6FF-46D6-92A5-BD7B503A6D0E}" name="PivotTable1"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C4:F10" firstHeaderRow="0" firstDataRow="1" firstDataCol="1"/>
  <pivotFields count="7">
    <pivotField showAll="0">
      <items count="11">
        <item x="7"/>
        <item x="1"/>
        <item x="3"/>
        <item x="5"/>
        <item x="4"/>
        <item x="6"/>
        <item x="8"/>
        <item x="2"/>
        <item x="9"/>
        <item x="0"/>
        <item t="default"/>
      </items>
    </pivotField>
    <pivotField axis="axisRow" showAll="0" sortType="descending">
      <items count="7">
        <item x="4"/>
        <item x="2"/>
        <item x="5"/>
        <item x="0"/>
        <item x="3"/>
        <item x="1"/>
        <item t="default"/>
      </items>
      <autoSortScope>
        <pivotArea dataOnly="0" outline="0" fieldPosition="0">
          <references count="1">
            <reference field="4294967294" count="1" selected="0">
              <x v="0"/>
            </reference>
          </references>
        </pivotArea>
      </autoSortScope>
    </pivotField>
    <pivotField showAll="0"/>
    <pivotField dataField="1" numFmtId="164" showAll="0"/>
    <pivotField dataField="1" numFmtId="3" showAll="0"/>
    <pivotField numFmtId="167" showAll="0"/>
    <pivotField numFmtId="167" showAll="0"/>
  </pivotFields>
  <rowFields count="1">
    <field x="1"/>
  </rowFields>
  <rowItems count="6">
    <i>
      <x v="2"/>
    </i>
    <i>
      <x v="1"/>
    </i>
    <i>
      <x v="3"/>
    </i>
    <i>
      <x v="5"/>
    </i>
    <i>
      <x v="4"/>
    </i>
    <i>
      <x/>
    </i>
  </rowItems>
  <colFields count="1">
    <field x="-2"/>
  </colFields>
  <colItems count="3">
    <i>
      <x/>
    </i>
    <i i="1">
      <x v="1"/>
    </i>
    <i i="2">
      <x v="2"/>
    </i>
  </colItems>
  <dataFields count="3">
    <dataField name="Sum of Amount" fld="3" baseField="0" baseItem="0" numFmtId="164"/>
    <dataField name="kkkkkkkk" fld="3" baseField="0" baseItem="0"/>
    <dataField name="Sum of Units" fld="4" baseField="0" baseItem="0"/>
  </dataFields>
  <formats count="3">
    <format dxfId="9">
      <pivotArea dataOnly="0" fieldPosition="0">
        <references count="1">
          <reference field="1" count="0"/>
        </references>
      </pivotArea>
    </format>
    <format dxfId="8">
      <pivotArea dataOnly="0" labelOnly="1" outline="0" fieldPosition="0">
        <references count="1">
          <reference field="4294967294" count="1">
            <x v="1"/>
          </reference>
        </references>
      </pivotArea>
    </format>
    <format dxfId="7">
      <pivotArea outline="0" collapsedLevelsAreSubtotals="1" fieldPosition="0">
        <references count="1">
          <reference field="4294967294" count="1" selected="0">
            <x v="0"/>
          </reference>
        </references>
      </pivotArea>
    </format>
  </formats>
  <conditionalFormats count="1">
    <conditionalFormat scope="field" priority="1">
      <pivotAreas count="1">
        <pivotArea outline="0" collapsedLevelsAreSubtotals="1" fieldPosition="0">
          <references count="2">
            <reference field="4294967294" count="1" selected="0">
              <x v="1"/>
            </reference>
            <reference field="1" count="0" selected="0"/>
          </references>
        </pivotArea>
      </pivotAreas>
    </conditionalFormat>
  </conditionalFormats>
  <pivotTableStyleInfo name="PivotStyleDark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F2EEF9-9596-4B71-894E-C5B5998F99E8}" name="PivotTable2" cacheId="0"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location ref="C3:D9"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4"/>
    </i>
    <i>
      <x v="3"/>
    </i>
    <i>
      <x/>
    </i>
    <i>
      <x v="2"/>
    </i>
    <i>
      <x v="1"/>
    </i>
    <i t="grand">
      <x/>
    </i>
  </rowItems>
  <colItems count="1">
    <i/>
  </colItems>
  <dataFields count="1">
    <dataField fld="1" subtotal="count" baseField="0" baseItem="0" numFmtId="165"/>
  </dataFields>
  <formats count="1">
    <format dxfId="6">
      <pivotArea outline="0" collapsedLevelsAreSubtotals="1" fieldPosition="0"/>
    </format>
  </formats>
  <pivotHierarchies count="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4" showRowHeaders="1" showColHeaders="1" showRowStripes="0" showColStripes="0" showLastColumn="1"/>
  <filters count="1">
    <filter fld="0" type="count" id="1" iMeasureHier="11">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ngoing beginner-DA-course-blank.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2D399C-0787-471F-8260-E5D8100DDA13}" name="PivotTable4"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4:H17" firstHeaderRow="1" firstDataRow="1" firstDataCol="1"/>
  <pivotFields count="7">
    <pivotField axis="axisRow" showAll="0" measureFilter="1" sortType="ascending">
      <items count="11">
        <item x="7"/>
        <item x="1"/>
        <item x="3"/>
        <item x="5"/>
        <item x="4"/>
        <item x="6"/>
        <item x="8"/>
        <item x="2"/>
        <item x="9"/>
        <item x="0"/>
        <item t="default"/>
      </items>
      <autoSortScope>
        <pivotArea dataOnly="0" outline="0" fieldPosition="0">
          <references count="1">
            <reference field="4294967294" count="1" selected="0">
              <x v="0"/>
            </reference>
          </references>
        </pivotArea>
      </autoSortScope>
    </pivotField>
    <pivotField axis="axisRow" showAll="0">
      <items count="7">
        <item x="4"/>
        <item x="2"/>
        <item x="5"/>
        <item x="0"/>
        <item x="3"/>
        <item x="1"/>
        <item t="default"/>
      </items>
    </pivotField>
    <pivotField showAll="0"/>
    <pivotField dataField="1" numFmtId="164" showAll="0"/>
    <pivotField numFmtId="3" showAll="0"/>
    <pivotField numFmtId="167" showAll="0"/>
    <pivotField numFmtId="167" showAll="0"/>
  </pivotFields>
  <rowFields count="2">
    <field x="1"/>
    <field x="0"/>
  </rowFields>
  <rowItems count="13">
    <i>
      <x/>
    </i>
    <i r="1">
      <x v="2"/>
    </i>
    <i>
      <x v="1"/>
    </i>
    <i r="1">
      <x v="1"/>
    </i>
    <i>
      <x v="2"/>
    </i>
    <i r="1">
      <x v="1"/>
    </i>
    <i>
      <x v="3"/>
    </i>
    <i r="1">
      <x v="8"/>
    </i>
    <i>
      <x v="4"/>
    </i>
    <i r="1">
      <x v="2"/>
    </i>
    <i>
      <x v="5"/>
    </i>
    <i r="1">
      <x/>
    </i>
    <i t="grand">
      <x/>
    </i>
  </rowItems>
  <colItems count="1">
    <i/>
  </colItems>
  <dataFields count="1">
    <dataField name="Sum of Amount" fld="3" baseField="0" baseItem="0" numFmtId="164"/>
  </dataFields>
  <formats count="1">
    <format dxfId="4">
      <pivotArea outline="0" collapsedLevelsAreSubtotals="1" fieldPosition="0"/>
    </format>
  </formats>
  <pivotTableStyleInfo name="PivotStyleLight16" showRowHeaders="1" showColHeaders="1" showRowStripes="0" showColStripes="0" showLastColumn="1"/>
  <filters count="1">
    <filter fld="0" type="count" evalOrder="-1" id="2" iMeasureFld="0">
      <autoFilter ref="A1">
        <filterColumn colId="0">
          <top10 top="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8691A7-8311-49C3-8E1D-438C1FDEE1FA}" name="PivotTable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4:D17" firstHeaderRow="1" firstDataRow="1" firstDataCol="1"/>
  <pivotFields count="7">
    <pivotField axis="axisRow" showAll="0" measureFilter="1" sortType="descending">
      <items count="11">
        <item x="7"/>
        <item x="1"/>
        <item x="3"/>
        <item x="5"/>
        <item x="4"/>
        <item x="6"/>
        <item x="8"/>
        <item x="2"/>
        <item x="9"/>
        <item x="0"/>
        <item t="default"/>
      </items>
      <autoSortScope>
        <pivotArea dataOnly="0" outline="0" fieldPosition="0">
          <references count="1">
            <reference field="4294967294" count="1" selected="0">
              <x v="0"/>
            </reference>
          </references>
        </pivotArea>
      </autoSortScope>
    </pivotField>
    <pivotField axis="axisRow" showAll="0">
      <items count="7">
        <item x="4"/>
        <item x="2"/>
        <item x="5"/>
        <item x="0"/>
        <item x="3"/>
        <item x="1"/>
        <item t="default"/>
      </items>
    </pivotField>
    <pivotField showAll="0"/>
    <pivotField dataField="1" numFmtId="164" showAll="0"/>
    <pivotField numFmtId="3" showAll="0"/>
    <pivotField numFmtId="167" showAll="0"/>
    <pivotField numFmtId="167" showAll="0"/>
  </pivotFields>
  <rowFields count="2">
    <field x="1"/>
    <field x="0"/>
  </rowFields>
  <rowItems count="13">
    <i>
      <x/>
    </i>
    <i r="1">
      <x v="5"/>
    </i>
    <i>
      <x v="1"/>
    </i>
    <i r="1">
      <x v="5"/>
    </i>
    <i>
      <x v="2"/>
    </i>
    <i r="1">
      <x v="5"/>
    </i>
    <i>
      <x v="3"/>
    </i>
    <i r="1">
      <x v="3"/>
    </i>
    <i>
      <x v="4"/>
    </i>
    <i r="1">
      <x/>
    </i>
    <i>
      <x v="5"/>
    </i>
    <i r="1">
      <x v="9"/>
    </i>
    <i t="grand">
      <x/>
    </i>
  </rowItems>
  <colItems count="1">
    <i/>
  </colItems>
  <dataFields count="1">
    <dataField name="Sum of Amount" fld="3" baseField="0" baseItem="0" numFmtId="164"/>
  </dataFields>
  <formats count="1">
    <format dxfId="5">
      <pivotArea outline="0" collapsedLevelsAreSubtotals="1" fieldPosition="0"/>
    </format>
  </formats>
  <pivotTableStyleInfo name="PivotStyleLight16" showRowHeaders="1" showColHeaders="1" showRowStripes="0" showColStripes="0" showLastColumn="1"/>
  <filters count="1">
    <filter fld="0"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9E220D-9A12-4939-AE6D-C8A6F74497F2}"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3:D26" firstHeaderRow="1" firstDataRow="1" firstDataCol="1"/>
  <pivotFields count="3">
    <pivotField axis="axisRow" allDrilled="1" subtotalTop="0" showAll="0" defaultSubtotal="0" defaultAttributeDrillState="1">
      <items count="22">
        <item x="0"/>
        <item x="1"/>
        <item x="2"/>
        <item x="3"/>
        <item x="4"/>
        <item x="5"/>
        <item x="6"/>
        <item x="7"/>
        <item x="8"/>
        <item x="9"/>
        <item x="10"/>
        <item x="11"/>
        <item x="12"/>
        <item x="13"/>
        <item x="14"/>
        <item x="15"/>
        <item x="16"/>
        <item x="17"/>
        <item x="18"/>
        <item x="19"/>
        <item x="20"/>
        <item x="21"/>
      </items>
    </pivotField>
    <pivotField dataField="1" subtotalTop="0" showAll="0" defaultSubtotal="0"/>
    <pivotField allDrilled="1" subtotalTop="0" showAll="0" dataSourceSort="1" defaultSubtotal="0" defaultAttributeDrillState="1"/>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fld="1" subtotal="count" baseField="0" baseItem="0" numFmtId="165"/>
  </dataFields>
  <formats count="1">
    <format dxfId="3">
      <pivotArea outline="0" collapsedLevelsAreSubtotals="1" fieldPosition="0"/>
    </format>
  </formats>
  <pivotHierarchies count="1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ngoing beginner-DA-course-blank.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E93787-C0E5-4C13-AC25-5EC57CED308E}" name="PivotTable6" cacheId="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C3:G26" firstHeaderRow="0" firstDataRow="1" firstDataCol="1"/>
  <pivotFields count="5">
    <pivotField axis="axisRow" allDrilled="1"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4">
    <i>
      <x/>
    </i>
    <i i="1">
      <x v="1"/>
    </i>
    <i i="2">
      <x v="2"/>
    </i>
    <i i="3">
      <x v="3"/>
    </i>
  </colItems>
  <dataFields count="4">
    <dataField name="Sum of Amount" fld="1" baseField="0" baseItem="0" numFmtId="165"/>
    <dataField name="Sum of Units" fld="3" baseField="0" baseItem="0"/>
    <dataField fld="2" subtotal="count" baseField="0" baseItem="0" numFmtId="165"/>
    <dataField fld="4" subtotal="count" baseField="0" baseItem="0"/>
  </dataFields>
  <formats count="3">
    <format dxfId="2">
      <pivotArea outline="0" fieldPosition="0">
        <references count="1">
          <reference field="4294967294" count="1">
            <x v="2"/>
          </reference>
        </references>
      </pivotArea>
    </format>
    <format dxfId="1">
      <pivotArea collapsedLevelsAreSubtotals="1" fieldPosition="0">
        <references count="2">
          <reference field="4294967294" count="1" selected="0">
            <x v="0"/>
          </reference>
          <reference field="0" count="1">
            <x v="0"/>
          </reference>
        </references>
      </pivotArea>
    </format>
    <format dxfId="0">
      <pivotArea dataOnly="0" outline="0" fieldPosition="0">
        <references count="1">
          <reference field="4294967294" count="1">
            <x v="0"/>
          </reference>
        </references>
      </pivotArea>
    </format>
  </formats>
  <pivotHierarchies count="1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ngoing beginner-DA-course-blank.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13F9A1D6-6112-481B-B3BE-79C5A7D1CCAE}" sourceName="Sales Person">
  <pivotTables>
    <pivotTable tabId="5" name="PivotTable1"/>
  </pivotTables>
  <data>
    <tabular pivotCacheId="369707939">
      <items count="10">
        <i x="7" s="1"/>
        <i x="1" s="1"/>
        <i x="3" s="1"/>
        <i x="5" s="1"/>
        <i x="4" s="1"/>
        <i x="6" s="1"/>
        <i x="8" s="1"/>
        <i x="2" s="1"/>
        <i x="9"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08FFF807-ABED-402F-BBE9-60072124E65C}" sourceName="[data].[Geography]">
  <pivotTables>
    <pivotTable tabId="9" name="PivotTable5"/>
  </pivotTables>
  <data>
    <olap pivotCacheId="1112405205">
      <levels count="2">
        <level uniqueName="[data].[Geography].[(All)]" sourceCaption="(All)" count="0"/>
        <level uniqueName="[data].[Geography].[Geography]" sourceCaption="Geography" count="6">
          <ranges>
            <range startItem="0">
              <i n="[data].[Geography].&amp;[Australia]" c="Australia"/>
              <i n="[data].[Geography].&amp;[Canada]" c="Canada"/>
              <i n="[data].[Geography].&amp;[India]" c="India"/>
              <i n="[data].[Geography].&amp;[New Zealand]" c="New Zealand"/>
              <i n="[data].[Geography].&amp;[UK]" c="UK"/>
              <i n="[data].[Geography].&amp;[USA]" c="USA"/>
            </range>
          </ranges>
        </level>
      </levels>
      <selections count="1">
        <selection n="[data].[Geograph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1" xr10:uid="{B38B67D7-C929-40FE-B6E9-05FEF03B3951}" sourceName="[data].[Geography]">
  <pivotTables>
    <pivotTable tabId="11" name="PivotTable6"/>
  </pivotTables>
  <data>
    <olap pivotCacheId="1411496133">
      <levels count="2">
        <level uniqueName="[data].[Geography].[(All)]" sourceCaption="(All)" count="0"/>
        <level uniqueName="[data].[Geography].[Geography]" sourceCaption="Geography" count="6">
          <ranges>
            <range startItem="0">
              <i n="[data].[Geography].&amp;[Australia]" c="Australia"/>
              <i n="[data].[Geography].&amp;[Canada]" c="Canada"/>
              <i n="[data].[Geography].&amp;[India]" c="India"/>
              <i n="[data].[Geography].&amp;[New Zealand]" c="New Zealand"/>
              <i n="[data].[Geography].&amp;[UK]" c="UK"/>
              <i n="[data].[Geography].&amp;[USA]" c="USA"/>
            </range>
          </ranges>
        </level>
      </levels>
      <selections count="1">
        <selection n="[data].[Geograph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3ADBF30E-7EBD-4032-9636-C495147607EE}" cache="Slicer_Sales_Person" caption="Sales Person" columnCoun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xr10:uid="{1DBF3EBA-AAC7-41A2-AF5C-414BFFBA2D88}" cache="Slicer_Geography" caption="Geography"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1" xr10:uid="{9F88A077-17D5-4A34-A5B3-352FE0FB5D4C}" cache="Slicer_Geography1" caption="Geography" level="1"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AC1E92-D947-4232-891E-65555AD7A47E}" name="products" displayName="products" ref="K3:L25" totalsRowShown="0">
  <tableColumns count="2">
    <tableColumn id="1" xr3:uid="{1B8963D1-E60F-4400-A175-651A513B826F}" name="Product"/>
    <tableColumn id="2" xr3:uid="{1798A7DA-FB9F-46D3-AA0A-B6BCA4A81AC3}" name="Cost per unit" dataDxfId="16"/>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FF5B87-00C6-4F31-8821-09F6D9B4D6B2}" name="data" displayName="data" ref="C3:I303" totalsRowShown="0" headerRowDxfId="15">
  <tableColumns count="7">
    <tableColumn id="1" xr3:uid="{FB2C019E-249B-4436-8FFA-39F7A5548F24}" name="Sales Person"/>
    <tableColumn id="2" xr3:uid="{6B811091-BCF0-4B51-AE49-1A6F19FDD31D}" name="Geography"/>
    <tableColumn id="3" xr3:uid="{33DFE79F-F60A-4DC7-8089-DC34D0254610}" name="Product"/>
    <tableColumn id="4" xr3:uid="{52885B18-E4CF-4743-ACE0-CF474A2633F6}" name="Amount" dataDxfId="14"/>
    <tableColumn id="5" xr3:uid="{BA6A7F3C-7CD4-4B31-AE21-236AD0D646AA}" name="Units" dataDxfId="13"/>
    <tableColumn id="6" xr3:uid="{F2EFAE85-A627-4741-A7FB-4B9348612D44}" name="Cost Per Unit">
      <calculatedColumnFormula>VLOOKUP(data[[#This Row],[Product]],products[],2,FALSE)</calculatedColumnFormula>
    </tableColumn>
    <tableColumn id="7" xr3:uid="{3D7F36FD-3901-4B01-9ACF-E26A66AB8720}" name="Cost">
      <calculatedColumnFormula>data[[#This Row],[Cost Per Unit]]*data[[#This Row],[Units]]</calculatedColumnFormula>
    </tableColumn>
  </tableColumns>
  <tableStyleInfo name="TableStyleMedium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EF3C5DE-9693-4217-ABDB-B494AE0AF3C5}" name="data4" displayName="data4" ref="C3:G303" totalsRowShown="0" headerRowDxfId="12">
  <autoFilter ref="C3:G303" xr:uid="{430DAB61-751A-4A76-8A9C-7D154B4691B1}"/>
  <sortState xmlns:xlrd2="http://schemas.microsoft.com/office/spreadsheetml/2017/richdata2" ref="C4:G303">
    <sortCondition descending="1" ref="F3:F303"/>
  </sortState>
  <tableColumns count="5">
    <tableColumn id="1" xr3:uid="{F83E0444-4124-4109-9B86-7C392C23EB14}" name="Sales Person"/>
    <tableColumn id="2" xr3:uid="{354F549B-3218-44AD-B2E8-DF42B345F682}" name="Geography"/>
    <tableColumn id="3" xr3:uid="{950E8D31-260E-4B7F-B7CE-F25B19F0BE69}" name="Product"/>
    <tableColumn id="4" xr3:uid="{DF16E8DF-C48B-4098-81C2-C19FE5790207}" name="Amount" dataDxfId="11"/>
    <tableColumn id="5" xr3:uid="{43544469-DBA6-4432-8D9B-6C7968DF1633}" name="Units" dataDxfId="10"/>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5.bin"/><Relationship Id="rId1" Type="http://schemas.openxmlformats.org/officeDocument/2006/relationships/pivotTable" Target="../pivotTables/pivotTable5.xml"/><Relationship Id="rId4" Type="http://schemas.microsoft.com/office/2007/relationships/slicer" Target="../slicers/slicer2.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ivotTable" Target="../pivotTables/pivotTable6.xml"/><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sheetPr>
    <tabColor rgb="FF7030A0"/>
  </sheetPr>
  <dimension ref="A1:AA658"/>
  <sheetViews>
    <sheetView showGridLines="0" tabSelected="1" zoomScaleNormal="100" workbookViewId="0">
      <selection activeCell="N11" sqref="N11"/>
    </sheetView>
  </sheetViews>
  <sheetFormatPr defaultRowHeight="15" x14ac:dyDescent="0.25"/>
  <cols>
    <col min="1" max="1" width="1.7109375" customWidth="1"/>
    <col min="2" max="2" width="3" customWidth="1"/>
    <col min="3" max="3" width="19.5703125" customWidth="1"/>
    <col min="4" max="4" width="14.7109375" customWidth="1"/>
    <col min="5" max="5" width="21.85546875" bestFit="1" customWidth="1"/>
    <col min="6" max="6" width="13.5703125" customWidth="1"/>
    <col min="7" max="7" width="10.7109375" customWidth="1"/>
    <col min="8" max="8" width="12.5703125" bestFit="1" customWidth="1"/>
    <col min="9" max="9" width="13" customWidth="1"/>
    <col min="10" max="10" width="5" customWidth="1"/>
    <col min="11" max="11" width="15.85546875" customWidth="1"/>
    <col min="12" max="12" width="12.28515625" bestFit="1" customWidth="1"/>
    <col min="13" max="13" width="4.28515625" customWidth="1"/>
    <col min="25" max="25" width="21.85546875" bestFit="1" customWidth="1"/>
    <col min="26" max="26" width="14.42578125" customWidth="1"/>
    <col min="31" max="31" width="21.85546875" customWidth="1"/>
  </cols>
  <sheetData>
    <row r="1" spans="1:27" s="1" customFormat="1" ht="52.5" customHeight="1" x14ac:dyDescent="0.25">
      <c r="A1" s="10"/>
      <c r="B1" s="11"/>
      <c r="C1" s="62" t="s">
        <v>76</v>
      </c>
      <c r="D1" s="62"/>
      <c r="E1" s="62"/>
      <c r="F1" s="62"/>
      <c r="G1" s="62"/>
      <c r="H1" s="11"/>
      <c r="I1" s="11"/>
      <c r="J1" s="11"/>
      <c r="K1" s="11"/>
      <c r="L1" s="11"/>
      <c r="M1" s="11"/>
      <c r="N1" s="11"/>
      <c r="O1" s="11"/>
      <c r="P1" s="11"/>
      <c r="Q1" s="11"/>
      <c r="R1" s="11"/>
    </row>
    <row r="3" spans="1:27" ht="15.75" x14ac:dyDescent="0.25">
      <c r="C3" s="4" t="s">
        <v>11</v>
      </c>
      <c r="D3" s="4" t="s">
        <v>12</v>
      </c>
      <c r="E3" s="4" t="s">
        <v>0</v>
      </c>
      <c r="F3" s="7" t="s">
        <v>1</v>
      </c>
      <c r="G3" s="7" t="s">
        <v>49</v>
      </c>
      <c r="H3" s="4" t="s">
        <v>78</v>
      </c>
      <c r="I3" s="7" t="s">
        <v>79</v>
      </c>
      <c r="K3" t="s">
        <v>0</v>
      </c>
      <c r="L3" t="s">
        <v>50</v>
      </c>
      <c r="V3" s="63" t="s">
        <v>42</v>
      </c>
      <c r="W3" s="63"/>
      <c r="X3" s="31"/>
      <c r="Y3" s="31"/>
      <c r="Z3" s="31"/>
      <c r="AA3" s="31"/>
    </row>
    <row r="4" spans="1:27" ht="15.75" x14ac:dyDescent="0.25">
      <c r="C4" t="s">
        <v>40</v>
      </c>
      <c r="D4" t="s">
        <v>37</v>
      </c>
      <c r="E4" t="s">
        <v>30</v>
      </c>
      <c r="F4" s="2">
        <v>1624</v>
      </c>
      <c r="G4" s="3">
        <v>114</v>
      </c>
      <c r="H4" s="45">
        <f>VLOOKUP(data[[#This Row],[Product]],products[],2,FALSE)</f>
        <v>14.49</v>
      </c>
      <c r="I4" s="45">
        <f>data[[#This Row],[Cost Per Unit]]*data[[#This Row],[Units]]</f>
        <v>1651.8600000000001</v>
      </c>
      <c r="K4" t="s">
        <v>13</v>
      </c>
      <c r="L4" s="8">
        <v>9.33</v>
      </c>
      <c r="U4" s="29">
        <v>1</v>
      </c>
      <c r="V4" s="6" t="s">
        <v>43</v>
      </c>
      <c r="W4" s="5"/>
      <c r="X4" s="6"/>
      <c r="Y4" s="5"/>
      <c r="Z4" s="6"/>
      <c r="AA4" s="5"/>
    </row>
    <row r="5" spans="1:27" ht="15.75" x14ac:dyDescent="0.25">
      <c r="C5" t="s">
        <v>8</v>
      </c>
      <c r="D5" t="s">
        <v>35</v>
      </c>
      <c r="E5" t="s">
        <v>32</v>
      </c>
      <c r="F5" s="2">
        <v>6706</v>
      </c>
      <c r="G5" s="3">
        <v>459</v>
      </c>
      <c r="H5" s="45">
        <f>VLOOKUP(data[[#This Row],[Product]],products[],2,FALSE)</f>
        <v>8.65</v>
      </c>
      <c r="I5" s="45">
        <f>data[[#This Row],[Cost Per Unit]]*data[[#This Row],[Units]]</f>
        <v>3970.3500000000004</v>
      </c>
      <c r="K5" t="s">
        <v>14</v>
      </c>
      <c r="L5" s="8">
        <v>11.7</v>
      </c>
      <c r="U5" s="29">
        <v>2</v>
      </c>
      <c r="V5" s="6" t="s">
        <v>52</v>
      </c>
      <c r="W5" s="5"/>
      <c r="X5" s="6"/>
      <c r="Y5" s="5"/>
      <c r="Z5" s="6"/>
      <c r="AA5" s="5"/>
    </row>
    <row r="6" spans="1:27" ht="15.75" x14ac:dyDescent="0.25">
      <c r="C6" t="s">
        <v>9</v>
      </c>
      <c r="D6" t="s">
        <v>35</v>
      </c>
      <c r="E6" t="s">
        <v>4</v>
      </c>
      <c r="F6" s="2">
        <v>959</v>
      </c>
      <c r="G6" s="3">
        <v>147</v>
      </c>
      <c r="H6" s="45">
        <f>VLOOKUP(data[[#This Row],[Product]],products[],2,FALSE)</f>
        <v>11.88</v>
      </c>
      <c r="I6" s="45">
        <f>data[[#This Row],[Cost Per Unit]]*data[[#This Row],[Units]]</f>
        <v>1746.3600000000001</v>
      </c>
      <c r="K6" t="s">
        <v>4</v>
      </c>
      <c r="L6" s="8">
        <v>11.88</v>
      </c>
      <c r="U6" s="29">
        <v>3</v>
      </c>
      <c r="V6" s="6" t="s">
        <v>44</v>
      </c>
      <c r="W6" s="5"/>
      <c r="X6" s="6"/>
      <c r="Y6" s="5"/>
      <c r="Z6" s="6"/>
      <c r="AA6" s="5"/>
    </row>
    <row r="7" spans="1:27" ht="15.75" x14ac:dyDescent="0.25">
      <c r="C7" t="s">
        <v>41</v>
      </c>
      <c r="D7" t="s">
        <v>36</v>
      </c>
      <c r="E7" t="s">
        <v>18</v>
      </c>
      <c r="F7" s="2">
        <v>9632</v>
      </c>
      <c r="G7" s="3">
        <v>288</v>
      </c>
      <c r="H7" s="45">
        <f>VLOOKUP(data[[#This Row],[Product]],products[],2,FALSE)</f>
        <v>6.47</v>
      </c>
      <c r="I7" s="45">
        <f>data[[#This Row],[Cost Per Unit]]*data[[#This Row],[Units]]</f>
        <v>1863.36</v>
      </c>
      <c r="K7" t="s">
        <v>15</v>
      </c>
      <c r="L7" s="8">
        <v>11.73</v>
      </c>
      <c r="U7" s="29">
        <v>4</v>
      </c>
      <c r="V7" s="6" t="s">
        <v>45</v>
      </c>
      <c r="W7" s="5"/>
      <c r="X7" s="6"/>
      <c r="Y7" s="5"/>
      <c r="Z7" s="6"/>
      <c r="AA7" s="5"/>
    </row>
    <row r="8" spans="1:27" ht="15.75" x14ac:dyDescent="0.25">
      <c r="C8" t="s">
        <v>6</v>
      </c>
      <c r="D8" t="s">
        <v>39</v>
      </c>
      <c r="E8" t="s">
        <v>25</v>
      </c>
      <c r="F8" s="2">
        <v>2100</v>
      </c>
      <c r="G8" s="3">
        <v>414</v>
      </c>
      <c r="H8" s="45">
        <f>VLOOKUP(data[[#This Row],[Product]],products[],2,FALSE)</f>
        <v>13.15</v>
      </c>
      <c r="I8" s="45">
        <f>data[[#This Row],[Cost Per Unit]]*data[[#This Row],[Units]]</f>
        <v>5444.1</v>
      </c>
      <c r="K8" t="s">
        <v>16</v>
      </c>
      <c r="L8" s="8">
        <v>8.7899999999999991</v>
      </c>
      <c r="U8" s="29">
        <v>5</v>
      </c>
      <c r="V8" s="6" t="s">
        <v>53</v>
      </c>
      <c r="W8" s="5"/>
      <c r="X8" s="6"/>
      <c r="Y8" s="5"/>
      <c r="Z8" s="6"/>
      <c r="AA8" s="5"/>
    </row>
    <row r="9" spans="1:27" ht="15.75" x14ac:dyDescent="0.25">
      <c r="C9" t="s">
        <v>40</v>
      </c>
      <c r="D9" t="s">
        <v>35</v>
      </c>
      <c r="E9" t="s">
        <v>33</v>
      </c>
      <c r="F9" s="2">
        <v>8869</v>
      </c>
      <c r="G9" s="3">
        <v>432</v>
      </c>
      <c r="H9" s="45">
        <f>VLOOKUP(data[[#This Row],[Product]],products[],2,FALSE)</f>
        <v>12.37</v>
      </c>
      <c r="I9" s="45">
        <f>data[[#This Row],[Cost Per Unit]]*data[[#This Row],[Units]]</f>
        <v>5343.8399999999992</v>
      </c>
      <c r="K9" t="s">
        <v>17</v>
      </c>
      <c r="L9" s="8">
        <v>3.11</v>
      </c>
      <c r="U9" s="29">
        <v>6</v>
      </c>
      <c r="V9" s="6" t="s">
        <v>54</v>
      </c>
      <c r="W9" s="5"/>
      <c r="X9" s="6"/>
      <c r="Y9" s="5"/>
      <c r="Z9" s="6"/>
      <c r="AA9" s="5"/>
    </row>
    <row r="10" spans="1:27" ht="15.75" x14ac:dyDescent="0.25">
      <c r="C10" t="s">
        <v>6</v>
      </c>
      <c r="D10" t="s">
        <v>38</v>
      </c>
      <c r="E10" t="s">
        <v>31</v>
      </c>
      <c r="F10" s="2">
        <v>2681</v>
      </c>
      <c r="G10" s="3">
        <v>54</v>
      </c>
      <c r="H10" s="45">
        <f>VLOOKUP(data[[#This Row],[Product]],products[],2,FALSE)</f>
        <v>5.79</v>
      </c>
      <c r="I10" s="45">
        <f>data[[#This Row],[Cost Per Unit]]*data[[#This Row],[Units]]</f>
        <v>312.66000000000003</v>
      </c>
      <c r="K10" t="s">
        <v>18</v>
      </c>
      <c r="L10" s="8">
        <v>6.47</v>
      </c>
      <c r="U10" s="29">
        <v>7</v>
      </c>
      <c r="V10" s="6" t="s">
        <v>48</v>
      </c>
      <c r="W10" s="5"/>
      <c r="X10" s="6"/>
      <c r="Y10" s="5"/>
      <c r="Z10" s="6"/>
      <c r="AA10" s="5"/>
    </row>
    <row r="11" spans="1:27" ht="15.75" x14ac:dyDescent="0.25">
      <c r="C11" t="s">
        <v>8</v>
      </c>
      <c r="D11" t="s">
        <v>35</v>
      </c>
      <c r="E11" t="s">
        <v>22</v>
      </c>
      <c r="F11" s="2">
        <v>5012</v>
      </c>
      <c r="G11" s="3">
        <v>210</v>
      </c>
      <c r="H11" s="45">
        <f>VLOOKUP(data[[#This Row],[Product]],products[],2,FALSE)</f>
        <v>9.77</v>
      </c>
      <c r="I11" s="45">
        <f>data[[#This Row],[Cost Per Unit]]*data[[#This Row],[Units]]</f>
        <v>2051.6999999999998</v>
      </c>
      <c r="K11" t="s">
        <v>19</v>
      </c>
      <c r="L11" s="8">
        <v>7.64</v>
      </c>
      <c r="U11" s="29">
        <v>8</v>
      </c>
      <c r="V11" s="6" t="s">
        <v>51</v>
      </c>
      <c r="W11" s="5"/>
      <c r="X11" s="6"/>
      <c r="Y11" s="5"/>
      <c r="Z11" s="6"/>
      <c r="AA11" s="5"/>
    </row>
    <row r="12" spans="1:27" ht="15.75" x14ac:dyDescent="0.25">
      <c r="C12" t="s">
        <v>7</v>
      </c>
      <c r="D12" t="s">
        <v>38</v>
      </c>
      <c r="E12" t="s">
        <v>14</v>
      </c>
      <c r="F12" s="2">
        <v>1281</v>
      </c>
      <c r="G12" s="3">
        <v>75</v>
      </c>
      <c r="H12" s="45">
        <f>VLOOKUP(data[[#This Row],[Product]],products[],2,FALSE)</f>
        <v>11.7</v>
      </c>
      <c r="I12" s="45">
        <f>data[[#This Row],[Cost Per Unit]]*data[[#This Row],[Units]]</f>
        <v>877.5</v>
      </c>
      <c r="K12" t="s">
        <v>20</v>
      </c>
      <c r="L12" s="8">
        <v>10.62</v>
      </c>
      <c r="U12" s="29">
        <v>9</v>
      </c>
      <c r="V12" s="6" t="s">
        <v>46</v>
      </c>
      <c r="W12" s="5"/>
      <c r="X12" s="6"/>
      <c r="Y12" s="5"/>
      <c r="Z12" s="6"/>
      <c r="AA12" s="5"/>
    </row>
    <row r="13" spans="1:27" ht="15.75" x14ac:dyDescent="0.25">
      <c r="C13" t="s">
        <v>5</v>
      </c>
      <c r="D13" t="s">
        <v>37</v>
      </c>
      <c r="E13" t="s">
        <v>14</v>
      </c>
      <c r="F13" s="2">
        <v>4991</v>
      </c>
      <c r="G13" s="3">
        <v>12</v>
      </c>
      <c r="H13" s="45">
        <f>VLOOKUP(data[[#This Row],[Product]],products[],2,FALSE)</f>
        <v>11.7</v>
      </c>
      <c r="I13" s="45">
        <f>data[[#This Row],[Cost Per Unit]]*data[[#This Row],[Units]]</f>
        <v>140.39999999999998</v>
      </c>
      <c r="K13" t="s">
        <v>21</v>
      </c>
      <c r="L13" s="8">
        <v>9</v>
      </c>
      <c r="U13" s="29">
        <v>10</v>
      </c>
      <c r="V13" s="6" t="s">
        <v>47</v>
      </c>
      <c r="W13" s="5"/>
      <c r="X13" s="6"/>
      <c r="Y13" s="5"/>
      <c r="Z13" s="6"/>
      <c r="AA13" s="5"/>
    </row>
    <row r="14" spans="1:27" x14ac:dyDescent="0.25">
      <c r="C14" t="s">
        <v>2</v>
      </c>
      <c r="D14" t="s">
        <v>39</v>
      </c>
      <c r="E14" t="s">
        <v>25</v>
      </c>
      <c r="F14" s="2">
        <v>1785</v>
      </c>
      <c r="G14" s="3">
        <v>462</v>
      </c>
      <c r="H14" s="45">
        <f>VLOOKUP(data[[#This Row],[Product]],products[],2,FALSE)</f>
        <v>13.15</v>
      </c>
      <c r="I14" s="45">
        <f>data[[#This Row],[Cost Per Unit]]*data[[#This Row],[Units]]</f>
        <v>6075.3</v>
      </c>
      <c r="K14" t="s">
        <v>22</v>
      </c>
      <c r="L14" s="8">
        <v>9.77</v>
      </c>
    </row>
    <row r="15" spans="1:27" x14ac:dyDescent="0.25">
      <c r="C15" t="s">
        <v>3</v>
      </c>
      <c r="D15" t="s">
        <v>37</v>
      </c>
      <c r="E15" t="s">
        <v>17</v>
      </c>
      <c r="F15" s="2">
        <v>3983</v>
      </c>
      <c r="G15" s="3">
        <v>144</v>
      </c>
      <c r="H15" s="45">
        <f>VLOOKUP(data[[#This Row],[Product]],products[],2,FALSE)</f>
        <v>3.11</v>
      </c>
      <c r="I15" s="45">
        <f>data[[#This Row],[Cost Per Unit]]*data[[#This Row],[Units]]</f>
        <v>447.84</v>
      </c>
      <c r="K15" t="s">
        <v>23</v>
      </c>
      <c r="L15" s="8">
        <v>6.49</v>
      </c>
    </row>
    <row r="16" spans="1:27" x14ac:dyDescent="0.25">
      <c r="C16" t="s">
        <v>9</v>
      </c>
      <c r="D16" t="s">
        <v>38</v>
      </c>
      <c r="E16" t="s">
        <v>16</v>
      </c>
      <c r="F16" s="2">
        <v>2646</v>
      </c>
      <c r="G16" s="3">
        <v>120</v>
      </c>
      <c r="H16" s="45">
        <f>VLOOKUP(data[[#This Row],[Product]],products[],2,FALSE)</f>
        <v>8.7899999999999991</v>
      </c>
      <c r="I16" s="45">
        <f>data[[#This Row],[Cost Per Unit]]*data[[#This Row],[Units]]</f>
        <v>1054.8</v>
      </c>
      <c r="K16" t="s">
        <v>24</v>
      </c>
      <c r="L16" s="8">
        <v>4.97</v>
      </c>
    </row>
    <row r="17" spans="3:13" x14ac:dyDescent="0.25">
      <c r="C17" t="s">
        <v>2</v>
      </c>
      <c r="D17" t="s">
        <v>34</v>
      </c>
      <c r="E17" t="s">
        <v>13</v>
      </c>
      <c r="F17" s="2">
        <v>252</v>
      </c>
      <c r="G17" s="3">
        <v>54</v>
      </c>
      <c r="H17" s="45">
        <f>VLOOKUP(data[[#This Row],[Product]],products[],2,FALSE)</f>
        <v>9.33</v>
      </c>
      <c r="I17" s="45">
        <f>data[[#This Row],[Cost Per Unit]]*data[[#This Row],[Units]]</f>
        <v>503.82</v>
      </c>
      <c r="K17" t="s">
        <v>25</v>
      </c>
      <c r="L17" s="8">
        <v>13.15</v>
      </c>
    </row>
    <row r="18" spans="3:13" x14ac:dyDescent="0.25">
      <c r="C18" t="s">
        <v>3</v>
      </c>
      <c r="D18" t="s">
        <v>35</v>
      </c>
      <c r="E18" t="s">
        <v>25</v>
      </c>
      <c r="F18" s="2">
        <v>2464</v>
      </c>
      <c r="G18" s="3">
        <v>234</v>
      </c>
      <c r="H18" s="45">
        <f>VLOOKUP(data[[#This Row],[Product]],products[],2,FALSE)</f>
        <v>13.15</v>
      </c>
      <c r="I18" s="45">
        <f>data[[#This Row],[Cost Per Unit]]*data[[#This Row],[Units]]</f>
        <v>3077.1</v>
      </c>
      <c r="K18" t="s">
        <v>26</v>
      </c>
      <c r="L18" s="8">
        <v>5.6</v>
      </c>
      <c r="M18" t="s">
        <v>71</v>
      </c>
    </row>
    <row r="19" spans="3:13" x14ac:dyDescent="0.25">
      <c r="C19" t="s">
        <v>3</v>
      </c>
      <c r="D19" t="s">
        <v>35</v>
      </c>
      <c r="E19" t="s">
        <v>29</v>
      </c>
      <c r="F19" s="2">
        <v>2114</v>
      </c>
      <c r="G19" s="3">
        <v>66</v>
      </c>
      <c r="H19" s="45">
        <f>VLOOKUP(data[[#This Row],[Product]],products[],2,FALSE)</f>
        <v>7.16</v>
      </c>
      <c r="I19" s="45">
        <f>data[[#This Row],[Cost Per Unit]]*data[[#This Row],[Units]]</f>
        <v>472.56</v>
      </c>
      <c r="K19" t="s">
        <v>27</v>
      </c>
      <c r="L19" s="8">
        <v>16.73</v>
      </c>
    </row>
    <row r="20" spans="3:13" x14ac:dyDescent="0.25">
      <c r="C20" t="s">
        <v>6</v>
      </c>
      <c r="D20" t="s">
        <v>37</v>
      </c>
      <c r="E20" t="s">
        <v>31</v>
      </c>
      <c r="F20" s="2">
        <v>7693</v>
      </c>
      <c r="G20" s="3">
        <v>87</v>
      </c>
      <c r="H20" s="45">
        <f>VLOOKUP(data[[#This Row],[Product]],products[],2,FALSE)</f>
        <v>5.79</v>
      </c>
      <c r="I20" s="45">
        <f>data[[#This Row],[Cost Per Unit]]*data[[#This Row],[Units]]</f>
        <v>503.73</v>
      </c>
      <c r="K20" t="s">
        <v>28</v>
      </c>
      <c r="L20" s="8">
        <v>10.38</v>
      </c>
    </row>
    <row r="21" spans="3:13" x14ac:dyDescent="0.25">
      <c r="C21" t="s">
        <v>5</v>
      </c>
      <c r="D21" t="s">
        <v>34</v>
      </c>
      <c r="E21" t="s">
        <v>20</v>
      </c>
      <c r="F21" s="2">
        <v>15610</v>
      </c>
      <c r="G21" s="3">
        <v>339</v>
      </c>
      <c r="H21" s="45">
        <f>VLOOKUP(data[[#This Row],[Product]],products[],2,FALSE)</f>
        <v>10.62</v>
      </c>
      <c r="I21" s="45">
        <f>data[[#This Row],[Cost Per Unit]]*data[[#This Row],[Units]]</f>
        <v>3600.18</v>
      </c>
      <c r="K21" t="s">
        <v>29</v>
      </c>
      <c r="L21" s="8">
        <v>7.16</v>
      </c>
    </row>
    <row r="22" spans="3:13" x14ac:dyDescent="0.25">
      <c r="C22" t="s">
        <v>41</v>
      </c>
      <c r="D22" t="s">
        <v>34</v>
      </c>
      <c r="E22" t="s">
        <v>22</v>
      </c>
      <c r="F22" s="2">
        <v>336</v>
      </c>
      <c r="G22" s="3">
        <v>144</v>
      </c>
      <c r="H22" s="45">
        <f>VLOOKUP(data[[#This Row],[Product]],products[],2,FALSE)</f>
        <v>9.77</v>
      </c>
      <c r="I22" s="45">
        <f>data[[#This Row],[Cost Per Unit]]*data[[#This Row],[Units]]</f>
        <v>1406.8799999999999</v>
      </c>
      <c r="K22" t="s">
        <v>30</v>
      </c>
      <c r="L22" s="8">
        <v>14.49</v>
      </c>
    </row>
    <row r="23" spans="3:13" x14ac:dyDescent="0.25">
      <c r="C23" t="s">
        <v>2</v>
      </c>
      <c r="D23" t="s">
        <v>39</v>
      </c>
      <c r="E23" t="s">
        <v>20</v>
      </c>
      <c r="F23" s="2">
        <v>9443</v>
      </c>
      <c r="G23" s="3">
        <v>162</v>
      </c>
      <c r="H23" s="45">
        <f>VLOOKUP(data[[#This Row],[Product]],products[],2,FALSE)</f>
        <v>10.62</v>
      </c>
      <c r="I23" s="45">
        <f>data[[#This Row],[Cost Per Unit]]*data[[#This Row],[Units]]</f>
        <v>1720.4399999999998</v>
      </c>
      <c r="K23" t="s">
        <v>31</v>
      </c>
      <c r="L23" s="8">
        <v>5.79</v>
      </c>
    </row>
    <row r="24" spans="3:13" x14ac:dyDescent="0.25">
      <c r="C24" t="s">
        <v>9</v>
      </c>
      <c r="D24" t="s">
        <v>34</v>
      </c>
      <c r="E24" t="s">
        <v>23</v>
      </c>
      <c r="F24" s="2">
        <v>8155</v>
      </c>
      <c r="G24" s="3">
        <v>90</v>
      </c>
      <c r="H24" s="45">
        <f>VLOOKUP(data[[#This Row],[Product]],products[],2,FALSE)</f>
        <v>6.49</v>
      </c>
      <c r="I24" s="45">
        <f>data[[#This Row],[Cost Per Unit]]*data[[#This Row],[Units]]</f>
        <v>584.1</v>
      </c>
      <c r="K24" t="s">
        <v>32</v>
      </c>
      <c r="L24" s="8">
        <v>8.65</v>
      </c>
    </row>
    <row r="25" spans="3:13" x14ac:dyDescent="0.25">
      <c r="C25" t="s">
        <v>8</v>
      </c>
      <c r="D25" t="s">
        <v>38</v>
      </c>
      <c r="E25" t="s">
        <v>23</v>
      </c>
      <c r="F25" s="2">
        <v>1701</v>
      </c>
      <c r="G25" s="3">
        <v>234</v>
      </c>
      <c r="H25" s="45">
        <f>VLOOKUP(data[[#This Row],[Product]],products[],2,FALSE)</f>
        <v>6.49</v>
      </c>
      <c r="I25" s="45">
        <f>data[[#This Row],[Cost Per Unit]]*data[[#This Row],[Units]]</f>
        <v>1518.66</v>
      </c>
      <c r="K25" t="s">
        <v>33</v>
      </c>
      <c r="L25" s="8">
        <v>12.37</v>
      </c>
    </row>
    <row r="26" spans="3:13" x14ac:dyDescent="0.25">
      <c r="C26" t="s">
        <v>10</v>
      </c>
      <c r="D26" t="s">
        <v>38</v>
      </c>
      <c r="E26" t="s">
        <v>22</v>
      </c>
      <c r="F26" s="2">
        <v>2205</v>
      </c>
      <c r="G26" s="3">
        <v>141</v>
      </c>
      <c r="H26" s="45">
        <f>VLOOKUP(data[[#This Row],[Product]],products[],2,FALSE)</f>
        <v>9.77</v>
      </c>
      <c r="I26" s="45">
        <f>data[[#This Row],[Cost Per Unit]]*data[[#This Row],[Units]]</f>
        <v>1377.57</v>
      </c>
    </row>
    <row r="27" spans="3:13" x14ac:dyDescent="0.25">
      <c r="C27" t="s">
        <v>8</v>
      </c>
      <c r="D27" t="s">
        <v>37</v>
      </c>
      <c r="E27" t="s">
        <v>19</v>
      </c>
      <c r="F27" s="2">
        <v>1771</v>
      </c>
      <c r="G27" s="3">
        <v>204</v>
      </c>
      <c r="H27" s="45">
        <f>VLOOKUP(data[[#This Row],[Product]],products[],2,FALSE)</f>
        <v>7.64</v>
      </c>
      <c r="I27" s="45">
        <f>data[[#This Row],[Cost Per Unit]]*data[[#This Row],[Units]]</f>
        <v>1558.56</v>
      </c>
    </row>
    <row r="28" spans="3:13" x14ac:dyDescent="0.25">
      <c r="C28" t="s">
        <v>41</v>
      </c>
      <c r="D28" t="s">
        <v>35</v>
      </c>
      <c r="E28" t="s">
        <v>15</v>
      </c>
      <c r="F28" s="2">
        <v>2114</v>
      </c>
      <c r="G28" s="3">
        <v>186</v>
      </c>
      <c r="H28" s="45">
        <f>VLOOKUP(data[[#This Row],[Product]],products[],2,FALSE)</f>
        <v>11.73</v>
      </c>
      <c r="I28" s="45">
        <f>data[[#This Row],[Cost Per Unit]]*data[[#This Row],[Units]]</f>
        <v>2181.7800000000002</v>
      </c>
    </row>
    <row r="29" spans="3:13" x14ac:dyDescent="0.25">
      <c r="C29" t="s">
        <v>41</v>
      </c>
      <c r="D29" t="s">
        <v>36</v>
      </c>
      <c r="E29" t="s">
        <v>13</v>
      </c>
      <c r="F29" s="2">
        <v>10311</v>
      </c>
      <c r="G29" s="3">
        <v>231</v>
      </c>
      <c r="H29" s="45">
        <f>VLOOKUP(data[[#This Row],[Product]],products[],2,FALSE)</f>
        <v>9.33</v>
      </c>
      <c r="I29" s="45">
        <f>data[[#This Row],[Cost Per Unit]]*data[[#This Row],[Units]]</f>
        <v>2155.23</v>
      </c>
    </row>
    <row r="30" spans="3:13" x14ac:dyDescent="0.25">
      <c r="C30" t="s">
        <v>3</v>
      </c>
      <c r="D30" t="s">
        <v>39</v>
      </c>
      <c r="E30" t="s">
        <v>16</v>
      </c>
      <c r="F30" s="2">
        <v>21</v>
      </c>
      <c r="G30" s="3">
        <v>168</v>
      </c>
      <c r="H30" s="45">
        <f>VLOOKUP(data[[#This Row],[Product]],products[],2,FALSE)</f>
        <v>8.7899999999999991</v>
      </c>
      <c r="I30" s="45">
        <f>data[[#This Row],[Cost Per Unit]]*data[[#This Row],[Units]]</f>
        <v>1476.7199999999998</v>
      </c>
    </row>
    <row r="31" spans="3:13" x14ac:dyDescent="0.25">
      <c r="C31" t="s">
        <v>10</v>
      </c>
      <c r="D31" t="s">
        <v>35</v>
      </c>
      <c r="E31" t="s">
        <v>20</v>
      </c>
      <c r="F31" s="2">
        <v>1974</v>
      </c>
      <c r="G31" s="3">
        <v>195</v>
      </c>
      <c r="H31" s="45">
        <f>VLOOKUP(data[[#This Row],[Product]],products[],2,FALSE)</f>
        <v>10.62</v>
      </c>
      <c r="I31" s="45">
        <f>data[[#This Row],[Cost Per Unit]]*data[[#This Row],[Units]]</f>
        <v>2070.8999999999996</v>
      </c>
    </row>
    <row r="32" spans="3:13" x14ac:dyDescent="0.25">
      <c r="C32" t="s">
        <v>5</v>
      </c>
      <c r="D32" t="s">
        <v>36</v>
      </c>
      <c r="E32" t="s">
        <v>23</v>
      </c>
      <c r="F32" s="2">
        <v>6314</v>
      </c>
      <c r="G32" s="3">
        <v>15</v>
      </c>
      <c r="H32" s="45">
        <f>VLOOKUP(data[[#This Row],[Product]],products[],2,FALSE)</f>
        <v>6.49</v>
      </c>
      <c r="I32" s="45">
        <f>data[[#This Row],[Cost Per Unit]]*data[[#This Row],[Units]]</f>
        <v>97.350000000000009</v>
      </c>
    </row>
    <row r="33" spans="3:9" x14ac:dyDescent="0.25">
      <c r="C33" t="s">
        <v>10</v>
      </c>
      <c r="D33" t="s">
        <v>37</v>
      </c>
      <c r="E33" t="s">
        <v>23</v>
      </c>
      <c r="F33" s="2">
        <v>4683</v>
      </c>
      <c r="G33" s="3">
        <v>30</v>
      </c>
      <c r="H33" s="45">
        <f>VLOOKUP(data[[#This Row],[Product]],products[],2,FALSE)</f>
        <v>6.49</v>
      </c>
      <c r="I33" s="45">
        <f>data[[#This Row],[Cost Per Unit]]*data[[#This Row],[Units]]</f>
        <v>194.70000000000002</v>
      </c>
    </row>
    <row r="34" spans="3:9" x14ac:dyDescent="0.25">
      <c r="C34" t="s">
        <v>41</v>
      </c>
      <c r="D34" t="s">
        <v>37</v>
      </c>
      <c r="E34" t="s">
        <v>24</v>
      </c>
      <c r="F34" s="2">
        <v>6398</v>
      </c>
      <c r="G34" s="3">
        <v>102</v>
      </c>
      <c r="H34" s="45">
        <f>VLOOKUP(data[[#This Row],[Product]],products[],2,FALSE)</f>
        <v>4.97</v>
      </c>
      <c r="I34" s="45">
        <f>data[[#This Row],[Cost Per Unit]]*data[[#This Row],[Units]]</f>
        <v>506.94</v>
      </c>
    </row>
    <row r="35" spans="3:9" x14ac:dyDescent="0.25">
      <c r="C35" t="s">
        <v>2</v>
      </c>
      <c r="D35" t="s">
        <v>35</v>
      </c>
      <c r="E35" t="s">
        <v>19</v>
      </c>
      <c r="F35" s="2">
        <v>553</v>
      </c>
      <c r="G35" s="3">
        <v>15</v>
      </c>
      <c r="H35" s="45">
        <f>VLOOKUP(data[[#This Row],[Product]],products[],2,FALSE)</f>
        <v>7.64</v>
      </c>
      <c r="I35" s="45">
        <f>data[[#This Row],[Cost Per Unit]]*data[[#This Row],[Units]]</f>
        <v>114.6</v>
      </c>
    </row>
    <row r="36" spans="3:9" x14ac:dyDescent="0.25">
      <c r="C36" t="s">
        <v>8</v>
      </c>
      <c r="D36" t="s">
        <v>39</v>
      </c>
      <c r="E36" t="s">
        <v>30</v>
      </c>
      <c r="F36" s="2">
        <v>7021</v>
      </c>
      <c r="G36" s="3">
        <v>183</v>
      </c>
      <c r="H36" s="45">
        <f>VLOOKUP(data[[#This Row],[Product]],products[],2,FALSE)</f>
        <v>14.49</v>
      </c>
      <c r="I36" s="45">
        <f>data[[#This Row],[Cost Per Unit]]*data[[#This Row],[Units]]</f>
        <v>2651.67</v>
      </c>
    </row>
    <row r="37" spans="3:9" x14ac:dyDescent="0.25">
      <c r="C37" t="s">
        <v>40</v>
      </c>
      <c r="D37" t="s">
        <v>39</v>
      </c>
      <c r="E37" t="s">
        <v>22</v>
      </c>
      <c r="F37" s="2">
        <v>5817</v>
      </c>
      <c r="G37" s="3">
        <v>12</v>
      </c>
      <c r="H37" s="45">
        <f>VLOOKUP(data[[#This Row],[Product]],products[],2,FALSE)</f>
        <v>9.77</v>
      </c>
      <c r="I37" s="45">
        <f>data[[#This Row],[Cost Per Unit]]*data[[#This Row],[Units]]</f>
        <v>117.24</v>
      </c>
    </row>
    <row r="38" spans="3:9" x14ac:dyDescent="0.25">
      <c r="C38" t="s">
        <v>41</v>
      </c>
      <c r="D38" t="s">
        <v>39</v>
      </c>
      <c r="E38" t="s">
        <v>14</v>
      </c>
      <c r="F38" s="2">
        <v>3976</v>
      </c>
      <c r="G38" s="3">
        <v>72</v>
      </c>
      <c r="H38" s="45">
        <f>VLOOKUP(data[[#This Row],[Product]],products[],2,FALSE)</f>
        <v>11.7</v>
      </c>
      <c r="I38" s="45">
        <f>data[[#This Row],[Cost Per Unit]]*data[[#This Row],[Units]]</f>
        <v>842.4</v>
      </c>
    </row>
    <row r="39" spans="3:9" x14ac:dyDescent="0.25">
      <c r="C39" t="s">
        <v>6</v>
      </c>
      <c r="D39" t="s">
        <v>38</v>
      </c>
      <c r="E39" t="s">
        <v>27</v>
      </c>
      <c r="F39" s="2">
        <v>1134</v>
      </c>
      <c r="G39" s="3">
        <v>282</v>
      </c>
      <c r="H39" s="45">
        <f>VLOOKUP(data[[#This Row],[Product]],products[],2,FALSE)</f>
        <v>16.73</v>
      </c>
      <c r="I39" s="45">
        <f>data[[#This Row],[Cost Per Unit]]*data[[#This Row],[Units]]</f>
        <v>4717.8599999999997</v>
      </c>
    </row>
    <row r="40" spans="3:9" x14ac:dyDescent="0.25">
      <c r="C40" t="s">
        <v>2</v>
      </c>
      <c r="D40" t="s">
        <v>39</v>
      </c>
      <c r="E40" t="s">
        <v>28</v>
      </c>
      <c r="F40" s="2">
        <v>6027</v>
      </c>
      <c r="G40" s="3">
        <v>144</v>
      </c>
      <c r="H40" s="45">
        <f>VLOOKUP(data[[#This Row],[Product]],products[],2,FALSE)</f>
        <v>10.38</v>
      </c>
      <c r="I40" s="45">
        <f>data[[#This Row],[Cost Per Unit]]*data[[#This Row],[Units]]</f>
        <v>1494.72</v>
      </c>
    </row>
    <row r="41" spans="3:9" x14ac:dyDescent="0.25">
      <c r="C41" t="s">
        <v>6</v>
      </c>
      <c r="D41" t="s">
        <v>37</v>
      </c>
      <c r="E41" t="s">
        <v>16</v>
      </c>
      <c r="F41" s="2">
        <v>1904</v>
      </c>
      <c r="G41" s="3">
        <v>405</v>
      </c>
      <c r="H41" s="45">
        <f>VLOOKUP(data[[#This Row],[Product]],products[],2,FALSE)</f>
        <v>8.7899999999999991</v>
      </c>
      <c r="I41" s="45">
        <f>data[[#This Row],[Cost Per Unit]]*data[[#This Row],[Units]]</f>
        <v>3559.95</v>
      </c>
    </row>
    <row r="42" spans="3:9" x14ac:dyDescent="0.25">
      <c r="C42" t="s">
        <v>7</v>
      </c>
      <c r="D42" t="s">
        <v>34</v>
      </c>
      <c r="E42" t="s">
        <v>32</v>
      </c>
      <c r="F42" s="2">
        <v>3262</v>
      </c>
      <c r="G42" s="3">
        <v>75</v>
      </c>
      <c r="H42" s="45">
        <f>VLOOKUP(data[[#This Row],[Product]],products[],2,FALSE)</f>
        <v>8.65</v>
      </c>
      <c r="I42" s="45">
        <f>data[[#This Row],[Cost Per Unit]]*data[[#This Row],[Units]]</f>
        <v>648.75</v>
      </c>
    </row>
    <row r="43" spans="3:9" x14ac:dyDescent="0.25">
      <c r="C43" t="s">
        <v>40</v>
      </c>
      <c r="D43" t="s">
        <v>34</v>
      </c>
      <c r="E43" t="s">
        <v>27</v>
      </c>
      <c r="F43" s="2">
        <v>2289</v>
      </c>
      <c r="G43" s="3">
        <v>135</v>
      </c>
      <c r="H43" s="45">
        <f>VLOOKUP(data[[#This Row],[Product]],products[],2,FALSE)</f>
        <v>16.73</v>
      </c>
      <c r="I43" s="45">
        <f>data[[#This Row],[Cost Per Unit]]*data[[#This Row],[Units]]</f>
        <v>2258.5500000000002</v>
      </c>
    </row>
    <row r="44" spans="3:9" x14ac:dyDescent="0.25">
      <c r="C44" t="s">
        <v>5</v>
      </c>
      <c r="D44" t="s">
        <v>34</v>
      </c>
      <c r="E44" t="s">
        <v>27</v>
      </c>
      <c r="F44" s="2">
        <v>6986</v>
      </c>
      <c r="G44" s="3">
        <v>21</v>
      </c>
      <c r="H44" s="45">
        <f>VLOOKUP(data[[#This Row],[Product]],products[],2,FALSE)</f>
        <v>16.73</v>
      </c>
      <c r="I44" s="45">
        <f>data[[#This Row],[Cost Per Unit]]*data[[#This Row],[Units]]</f>
        <v>351.33</v>
      </c>
    </row>
    <row r="45" spans="3:9" x14ac:dyDescent="0.25">
      <c r="C45" t="s">
        <v>2</v>
      </c>
      <c r="D45" t="s">
        <v>38</v>
      </c>
      <c r="E45" t="s">
        <v>23</v>
      </c>
      <c r="F45" s="2">
        <v>4417</v>
      </c>
      <c r="G45" s="3">
        <v>153</v>
      </c>
      <c r="H45" s="45">
        <f>VLOOKUP(data[[#This Row],[Product]],products[],2,FALSE)</f>
        <v>6.49</v>
      </c>
      <c r="I45" s="45">
        <f>data[[#This Row],[Cost Per Unit]]*data[[#This Row],[Units]]</f>
        <v>992.97</v>
      </c>
    </row>
    <row r="46" spans="3:9" x14ac:dyDescent="0.25">
      <c r="C46" t="s">
        <v>6</v>
      </c>
      <c r="D46" t="s">
        <v>34</v>
      </c>
      <c r="E46" t="s">
        <v>15</v>
      </c>
      <c r="F46" s="2">
        <v>1442</v>
      </c>
      <c r="G46" s="3">
        <v>15</v>
      </c>
      <c r="H46" s="45">
        <f>VLOOKUP(data[[#This Row],[Product]],products[],2,FALSE)</f>
        <v>11.73</v>
      </c>
      <c r="I46" s="45">
        <f>data[[#This Row],[Cost Per Unit]]*data[[#This Row],[Units]]</f>
        <v>175.95000000000002</v>
      </c>
    </row>
    <row r="47" spans="3:9" x14ac:dyDescent="0.25">
      <c r="C47" t="s">
        <v>3</v>
      </c>
      <c r="D47" t="s">
        <v>35</v>
      </c>
      <c r="E47" t="s">
        <v>14</v>
      </c>
      <c r="F47" s="2">
        <v>2415</v>
      </c>
      <c r="G47" s="3">
        <v>255</v>
      </c>
      <c r="H47" s="45">
        <f>VLOOKUP(data[[#This Row],[Product]],products[],2,FALSE)</f>
        <v>11.7</v>
      </c>
      <c r="I47" s="45">
        <f>data[[#This Row],[Cost Per Unit]]*data[[#This Row],[Units]]</f>
        <v>2983.5</v>
      </c>
    </row>
    <row r="48" spans="3:9" x14ac:dyDescent="0.25">
      <c r="C48" t="s">
        <v>2</v>
      </c>
      <c r="D48" t="s">
        <v>37</v>
      </c>
      <c r="E48" t="s">
        <v>19</v>
      </c>
      <c r="F48" s="2">
        <v>238</v>
      </c>
      <c r="G48" s="3">
        <v>18</v>
      </c>
      <c r="H48" s="45">
        <f>VLOOKUP(data[[#This Row],[Product]],products[],2,FALSE)</f>
        <v>7.64</v>
      </c>
      <c r="I48" s="45">
        <f>data[[#This Row],[Cost Per Unit]]*data[[#This Row],[Units]]</f>
        <v>137.51999999999998</v>
      </c>
    </row>
    <row r="49" spans="3:9" x14ac:dyDescent="0.25">
      <c r="C49" t="s">
        <v>6</v>
      </c>
      <c r="D49" t="s">
        <v>37</v>
      </c>
      <c r="E49" t="s">
        <v>23</v>
      </c>
      <c r="F49" s="2">
        <v>4949</v>
      </c>
      <c r="G49" s="3">
        <v>189</v>
      </c>
      <c r="H49" s="45">
        <f>VLOOKUP(data[[#This Row],[Product]],products[],2,FALSE)</f>
        <v>6.49</v>
      </c>
      <c r="I49" s="45">
        <f>data[[#This Row],[Cost Per Unit]]*data[[#This Row],[Units]]</f>
        <v>1226.6100000000001</v>
      </c>
    </row>
    <row r="50" spans="3:9" x14ac:dyDescent="0.25">
      <c r="C50" t="s">
        <v>5</v>
      </c>
      <c r="D50" t="s">
        <v>38</v>
      </c>
      <c r="E50" t="s">
        <v>32</v>
      </c>
      <c r="F50" s="2">
        <v>5075</v>
      </c>
      <c r="G50" s="3">
        <v>21</v>
      </c>
      <c r="H50" s="45">
        <f>VLOOKUP(data[[#This Row],[Product]],products[],2,FALSE)</f>
        <v>8.65</v>
      </c>
      <c r="I50" s="45">
        <f>data[[#This Row],[Cost Per Unit]]*data[[#This Row],[Units]]</f>
        <v>181.65</v>
      </c>
    </row>
    <row r="51" spans="3:9" x14ac:dyDescent="0.25">
      <c r="C51" t="s">
        <v>3</v>
      </c>
      <c r="D51" t="s">
        <v>36</v>
      </c>
      <c r="E51" t="s">
        <v>16</v>
      </c>
      <c r="F51" s="2">
        <v>9198</v>
      </c>
      <c r="G51" s="3">
        <v>36</v>
      </c>
      <c r="H51" s="45">
        <f>VLOOKUP(data[[#This Row],[Product]],products[],2,FALSE)</f>
        <v>8.7899999999999991</v>
      </c>
      <c r="I51" s="45">
        <f>data[[#This Row],[Cost Per Unit]]*data[[#This Row],[Units]]</f>
        <v>316.43999999999994</v>
      </c>
    </row>
    <row r="52" spans="3:9" x14ac:dyDescent="0.25">
      <c r="C52" t="s">
        <v>6</v>
      </c>
      <c r="D52" t="s">
        <v>34</v>
      </c>
      <c r="E52" t="s">
        <v>29</v>
      </c>
      <c r="F52" s="2">
        <v>3339</v>
      </c>
      <c r="G52" s="3">
        <v>75</v>
      </c>
      <c r="H52" s="45">
        <f>VLOOKUP(data[[#This Row],[Product]],products[],2,FALSE)</f>
        <v>7.16</v>
      </c>
      <c r="I52" s="45">
        <f>data[[#This Row],[Cost Per Unit]]*data[[#This Row],[Units]]</f>
        <v>537</v>
      </c>
    </row>
    <row r="53" spans="3:9" x14ac:dyDescent="0.25">
      <c r="C53" t="s">
        <v>40</v>
      </c>
      <c r="D53" t="s">
        <v>34</v>
      </c>
      <c r="E53" t="s">
        <v>17</v>
      </c>
      <c r="F53" s="2">
        <v>5019</v>
      </c>
      <c r="G53" s="3">
        <v>156</v>
      </c>
      <c r="H53" s="45">
        <f>VLOOKUP(data[[#This Row],[Product]],products[],2,FALSE)</f>
        <v>3.11</v>
      </c>
      <c r="I53" s="45">
        <f>data[[#This Row],[Cost Per Unit]]*data[[#This Row],[Units]]</f>
        <v>485.15999999999997</v>
      </c>
    </row>
    <row r="54" spans="3:9" x14ac:dyDescent="0.25">
      <c r="C54" t="s">
        <v>5</v>
      </c>
      <c r="D54" t="s">
        <v>36</v>
      </c>
      <c r="E54" t="s">
        <v>16</v>
      </c>
      <c r="F54" s="2">
        <v>16184</v>
      </c>
      <c r="G54" s="3">
        <v>39</v>
      </c>
      <c r="H54" s="45">
        <f>VLOOKUP(data[[#This Row],[Product]],products[],2,FALSE)</f>
        <v>8.7899999999999991</v>
      </c>
      <c r="I54" s="45">
        <f>data[[#This Row],[Cost Per Unit]]*data[[#This Row],[Units]]</f>
        <v>342.80999999999995</v>
      </c>
    </row>
    <row r="55" spans="3:9" x14ac:dyDescent="0.25">
      <c r="C55" t="s">
        <v>6</v>
      </c>
      <c r="D55" t="s">
        <v>36</v>
      </c>
      <c r="E55" t="s">
        <v>21</v>
      </c>
      <c r="F55" s="2">
        <v>497</v>
      </c>
      <c r="G55" s="3">
        <v>63</v>
      </c>
      <c r="H55" s="45">
        <f>VLOOKUP(data[[#This Row],[Product]],products[],2,FALSE)</f>
        <v>9</v>
      </c>
      <c r="I55" s="45">
        <f>data[[#This Row],[Cost Per Unit]]*data[[#This Row],[Units]]</f>
        <v>567</v>
      </c>
    </row>
    <row r="56" spans="3:9" x14ac:dyDescent="0.25">
      <c r="C56" t="s">
        <v>2</v>
      </c>
      <c r="D56" t="s">
        <v>36</v>
      </c>
      <c r="E56" t="s">
        <v>29</v>
      </c>
      <c r="F56" s="2">
        <v>8211</v>
      </c>
      <c r="G56" s="3">
        <v>75</v>
      </c>
      <c r="H56" s="45">
        <f>VLOOKUP(data[[#This Row],[Product]],products[],2,FALSE)</f>
        <v>7.16</v>
      </c>
      <c r="I56" s="45">
        <f>data[[#This Row],[Cost Per Unit]]*data[[#This Row],[Units]]</f>
        <v>537</v>
      </c>
    </row>
    <row r="57" spans="3:9" x14ac:dyDescent="0.25">
      <c r="C57" t="s">
        <v>2</v>
      </c>
      <c r="D57" t="s">
        <v>38</v>
      </c>
      <c r="E57" t="s">
        <v>28</v>
      </c>
      <c r="F57" s="2">
        <v>6580</v>
      </c>
      <c r="G57" s="3">
        <v>183</v>
      </c>
      <c r="H57" s="45">
        <f>VLOOKUP(data[[#This Row],[Product]],products[],2,FALSE)</f>
        <v>10.38</v>
      </c>
      <c r="I57" s="45">
        <f>data[[#This Row],[Cost Per Unit]]*data[[#This Row],[Units]]</f>
        <v>1899.5400000000002</v>
      </c>
    </row>
    <row r="58" spans="3:9" x14ac:dyDescent="0.25">
      <c r="C58" t="s">
        <v>41</v>
      </c>
      <c r="D58" t="s">
        <v>35</v>
      </c>
      <c r="E58" t="s">
        <v>13</v>
      </c>
      <c r="F58" s="2">
        <v>4760</v>
      </c>
      <c r="G58" s="3">
        <v>69</v>
      </c>
      <c r="H58" s="45">
        <f>VLOOKUP(data[[#This Row],[Product]],products[],2,FALSE)</f>
        <v>9.33</v>
      </c>
      <c r="I58" s="45">
        <f>data[[#This Row],[Cost Per Unit]]*data[[#This Row],[Units]]</f>
        <v>643.77</v>
      </c>
    </row>
    <row r="59" spans="3:9" x14ac:dyDescent="0.25">
      <c r="C59" t="s">
        <v>40</v>
      </c>
      <c r="D59" t="s">
        <v>36</v>
      </c>
      <c r="E59" t="s">
        <v>25</v>
      </c>
      <c r="F59" s="2">
        <v>5439</v>
      </c>
      <c r="G59" s="3">
        <v>30</v>
      </c>
      <c r="H59" s="45">
        <f>VLOOKUP(data[[#This Row],[Product]],products[],2,FALSE)</f>
        <v>13.15</v>
      </c>
      <c r="I59" s="45">
        <f>data[[#This Row],[Cost Per Unit]]*data[[#This Row],[Units]]</f>
        <v>394.5</v>
      </c>
    </row>
    <row r="60" spans="3:9" x14ac:dyDescent="0.25">
      <c r="C60" t="s">
        <v>41</v>
      </c>
      <c r="D60" t="s">
        <v>34</v>
      </c>
      <c r="E60" t="s">
        <v>17</v>
      </c>
      <c r="F60" s="2">
        <v>1463</v>
      </c>
      <c r="G60" s="3">
        <v>39</v>
      </c>
      <c r="H60" s="45">
        <f>VLOOKUP(data[[#This Row],[Product]],products[],2,FALSE)</f>
        <v>3.11</v>
      </c>
      <c r="I60" s="45">
        <f>data[[#This Row],[Cost Per Unit]]*data[[#This Row],[Units]]</f>
        <v>121.28999999999999</v>
      </c>
    </row>
    <row r="61" spans="3:9" x14ac:dyDescent="0.25">
      <c r="C61" t="s">
        <v>3</v>
      </c>
      <c r="D61" t="s">
        <v>34</v>
      </c>
      <c r="E61" t="s">
        <v>32</v>
      </c>
      <c r="F61" s="2">
        <v>7777</v>
      </c>
      <c r="G61" s="3">
        <v>504</v>
      </c>
      <c r="H61" s="45">
        <f>VLOOKUP(data[[#This Row],[Product]],products[],2,FALSE)</f>
        <v>8.65</v>
      </c>
      <c r="I61" s="45">
        <f>data[[#This Row],[Cost Per Unit]]*data[[#This Row],[Units]]</f>
        <v>4359.6000000000004</v>
      </c>
    </row>
    <row r="62" spans="3:9" x14ac:dyDescent="0.25">
      <c r="C62" t="s">
        <v>9</v>
      </c>
      <c r="D62" t="s">
        <v>37</v>
      </c>
      <c r="E62" t="s">
        <v>29</v>
      </c>
      <c r="F62" s="2">
        <v>1085</v>
      </c>
      <c r="G62" s="3">
        <v>273</v>
      </c>
      <c r="H62" s="45">
        <f>VLOOKUP(data[[#This Row],[Product]],products[],2,FALSE)</f>
        <v>7.16</v>
      </c>
      <c r="I62" s="45">
        <f>data[[#This Row],[Cost Per Unit]]*data[[#This Row],[Units]]</f>
        <v>1954.68</v>
      </c>
    </row>
    <row r="63" spans="3:9" x14ac:dyDescent="0.25">
      <c r="C63" t="s">
        <v>5</v>
      </c>
      <c r="D63" t="s">
        <v>37</v>
      </c>
      <c r="E63" t="s">
        <v>31</v>
      </c>
      <c r="F63" s="2">
        <v>182</v>
      </c>
      <c r="G63" s="3">
        <v>48</v>
      </c>
      <c r="H63" s="45">
        <f>VLOOKUP(data[[#This Row],[Product]],products[],2,FALSE)</f>
        <v>5.79</v>
      </c>
      <c r="I63" s="45">
        <f>data[[#This Row],[Cost Per Unit]]*data[[#This Row],[Units]]</f>
        <v>277.92</v>
      </c>
    </row>
    <row r="64" spans="3:9" x14ac:dyDescent="0.25">
      <c r="C64" t="s">
        <v>6</v>
      </c>
      <c r="D64" t="s">
        <v>34</v>
      </c>
      <c r="E64" t="s">
        <v>27</v>
      </c>
      <c r="F64" s="2">
        <v>4242</v>
      </c>
      <c r="G64" s="3">
        <v>207</v>
      </c>
      <c r="H64" s="45">
        <f>VLOOKUP(data[[#This Row],[Product]],products[],2,FALSE)</f>
        <v>16.73</v>
      </c>
      <c r="I64" s="45">
        <f>data[[#This Row],[Cost Per Unit]]*data[[#This Row],[Units]]</f>
        <v>3463.11</v>
      </c>
    </row>
    <row r="65" spans="3:9" x14ac:dyDescent="0.25">
      <c r="C65" t="s">
        <v>6</v>
      </c>
      <c r="D65" t="s">
        <v>36</v>
      </c>
      <c r="E65" t="s">
        <v>32</v>
      </c>
      <c r="F65" s="2">
        <v>6118</v>
      </c>
      <c r="G65" s="3">
        <v>9</v>
      </c>
      <c r="H65" s="45">
        <f>VLOOKUP(data[[#This Row],[Product]],products[],2,FALSE)</f>
        <v>8.65</v>
      </c>
      <c r="I65" s="45">
        <f>data[[#This Row],[Cost Per Unit]]*data[[#This Row],[Units]]</f>
        <v>77.850000000000009</v>
      </c>
    </row>
    <row r="66" spans="3:9" x14ac:dyDescent="0.25">
      <c r="C66" t="s">
        <v>10</v>
      </c>
      <c r="D66" t="s">
        <v>36</v>
      </c>
      <c r="E66" t="s">
        <v>23</v>
      </c>
      <c r="F66" s="2">
        <v>2317</v>
      </c>
      <c r="G66" s="3">
        <v>261</v>
      </c>
      <c r="H66" s="45">
        <f>VLOOKUP(data[[#This Row],[Product]],products[],2,FALSE)</f>
        <v>6.49</v>
      </c>
      <c r="I66" s="45">
        <f>data[[#This Row],[Cost Per Unit]]*data[[#This Row],[Units]]</f>
        <v>1693.89</v>
      </c>
    </row>
    <row r="67" spans="3:9" x14ac:dyDescent="0.25">
      <c r="C67" t="s">
        <v>6</v>
      </c>
      <c r="D67" t="s">
        <v>38</v>
      </c>
      <c r="E67" t="s">
        <v>16</v>
      </c>
      <c r="F67" s="2">
        <v>938</v>
      </c>
      <c r="G67" s="3">
        <v>6</v>
      </c>
      <c r="H67" s="45">
        <f>VLOOKUP(data[[#This Row],[Product]],products[],2,FALSE)</f>
        <v>8.7899999999999991</v>
      </c>
      <c r="I67" s="45">
        <f>data[[#This Row],[Cost Per Unit]]*data[[#This Row],[Units]]</f>
        <v>52.739999999999995</v>
      </c>
    </row>
    <row r="68" spans="3:9" x14ac:dyDescent="0.25">
      <c r="C68" t="s">
        <v>8</v>
      </c>
      <c r="D68" t="s">
        <v>37</v>
      </c>
      <c r="E68" t="s">
        <v>15</v>
      </c>
      <c r="F68" s="2">
        <v>9709</v>
      </c>
      <c r="G68" s="3">
        <v>30</v>
      </c>
      <c r="H68" s="45">
        <f>VLOOKUP(data[[#This Row],[Product]],products[],2,FALSE)</f>
        <v>11.73</v>
      </c>
      <c r="I68" s="45">
        <f>data[[#This Row],[Cost Per Unit]]*data[[#This Row],[Units]]</f>
        <v>351.90000000000003</v>
      </c>
    </row>
    <row r="69" spans="3:9" x14ac:dyDescent="0.25">
      <c r="C69" t="s">
        <v>7</v>
      </c>
      <c r="D69" t="s">
        <v>34</v>
      </c>
      <c r="E69" t="s">
        <v>20</v>
      </c>
      <c r="F69" s="2">
        <v>2205</v>
      </c>
      <c r="G69" s="3">
        <v>138</v>
      </c>
      <c r="H69" s="45">
        <f>VLOOKUP(data[[#This Row],[Product]],products[],2,FALSE)</f>
        <v>10.62</v>
      </c>
      <c r="I69" s="45">
        <f>data[[#This Row],[Cost Per Unit]]*data[[#This Row],[Units]]</f>
        <v>1465.56</v>
      </c>
    </row>
    <row r="70" spans="3:9" x14ac:dyDescent="0.25">
      <c r="C70" t="s">
        <v>7</v>
      </c>
      <c r="D70" t="s">
        <v>37</v>
      </c>
      <c r="E70" t="s">
        <v>17</v>
      </c>
      <c r="F70" s="2">
        <v>4487</v>
      </c>
      <c r="G70" s="3">
        <v>111</v>
      </c>
      <c r="H70" s="45">
        <f>VLOOKUP(data[[#This Row],[Product]],products[],2,FALSE)</f>
        <v>3.11</v>
      </c>
      <c r="I70" s="45">
        <f>data[[#This Row],[Cost Per Unit]]*data[[#This Row],[Units]]</f>
        <v>345.21</v>
      </c>
    </row>
    <row r="71" spans="3:9" x14ac:dyDescent="0.25">
      <c r="C71" t="s">
        <v>5</v>
      </c>
      <c r="D71" t="s">
        <v>35</v>
      </c>
      <c r="E71" t="s">
        <v>18</v>
      </c>
      <c r="F71" s="2">
        <v>2415</v>
      </c>
      <c r="G71" s="3">
        <v>15</v>
      </c>
      <c r="H71" s="45">
        <f>VLOOKUP(data[[#This Row],[Product]],products[],2,FALSE)</f>
        <v>6.47</v>
      </c>
      <c r="I71" s="45">
        <f>data[[#This Row],[Cost Per Unit]]*data[[#This Row],[Units]]</f>
        <v>97.05</v>
      </c>
    </row>
    <row r="72" spans="3:9" x14ac:dyDescent="0.25">
      <c r="C72" t="s">
        <v>40</v>
      </c>
      <c r="D72" t="s">
        <v>34</v>
      </c>
      <c r="E72" t="s">
        <v>19</v>
      </c>
      <c r="F72" s="2">
        <v>4018</v>
      </c>
      <c r="G72" s="3">
        <v>162</v>
      </c>
      <c r="H72" s="45">
        <f>VLOOKUP(data[[#This Row],[Product]],products[],2,FALSE)</f>
        <v>7.64</v>
      </c>
      <c r="I72" s="45">
        <f>data[[#This Row],[Cost Per Unit]]*data[[#This Row],[Units]]</f>
        <v>1237.6799999999998</v>
      </c>
    </row>
    <row r="73" spans="3:9" x14ac:dyDescent="0.25">
      <c r="C73" t="s">
        <v>5</v>
      </c>
      <c r="D73" t="s">
        <v>34</v>
      </c>
      <c r="E73" t="s">
        <v>19</v>
      </c>
      <c r="F73" s="2">
        <v>861</v>
      </c>
      <c r="G73" s="3">
        <v>195</v>
      </c>
      <c r="H73" s="45">
        <f>VLOOKUP(data[[#This Row],[Product]],products[],2,FALSE)</f>
        <v>7.64</v>
      </c>
      <c r="I73" s="45">
        <f>data[[#This Row],[Cost Per Unit]]*data[[#This Row],[Units]]</f>
        <v>1489.8</v>
      </c>
    </row>
    <row r="74" spans="3:9" x14ac:dyDescent="0.25">
      <c r="C74" t="s">
        <v>10</v>
      </c>
      <c r="D74" t="s">
        <v>38</v>
      </c>
      <c r="E74" t="s">
        <v>14</v>
      </c>
      <c r="F74" s="2">
        <v>5586</v>
      </c>
      <c r="G74" s="3">
        <v>525</v>
      </c>
      <c r="H74" s="45">
        <f>VLOOKUP(data[[#This Row],[Product]],products[],2,FALSE)</f>
        <v>11.7</v>
      </c>
      <c r="I74" s="45">
        <f>data[[#This Row],[Cost Per Unit]]*data[[#This Row],[Units]]</f>
        <v>6142.5</v>
      </c>
    </row>
    <row r="75" spans="3:9" x14ac:dyDescent="0.25">
      <c r="C75" t="s">
        <v>7</v>
      </c>
      <c r="D75" t="s">
        <v>34</v>
      </c>
      <c r="E75" t="s">
        <v>33</v>
      </c>
      <c r="F75" s="2">
        <v>2226</v>
      </c>
      <c r="G75" s="3">
        <v>48</v>
      </c>
      <c r="H75" s="45">
        <f>VLOOKUP(data[[#This Row],[Product]],products[],2,FALSE)</f>
        <v>12.37</v>
      </c>
      <c r="I75" s="45">
        <f>data[[#This Row],[Cost Per Unit]]*data[[#This Row],[Units]]</f>
        <v>593.76</v>
      </c>
    </row>
    <row r="76" spans="3:9" x14ac:dyDescent="0.25">
      <c r="C76" t="s">
        <v>9</v>
      </c>
      <c r="D76" t="s">
        <v>34</v>
      </c>
      <c r="E76" t="s">
        <v>28</v>
      </c>
      <c r="F76" s="2">
        <v>14329</v>
      </c>
      <c r="G76" s="3">
        <v>150</v>
      </c>
      <c r="H76" s="45">
        <f>VLOOKUP(data[[#This Row],[Product]],products[],2,FALSE)</f>
        <v>10.38</v>
      </c>
      <c r="I76" s="45">
        <f>data[[#This Row],[Cost Per Unit]]*data[[#This Row],[Units]]</f>
        <v>1557.0000000000002</v>
      </c>
    </row>
    <row r="77" spans="3:9" x14ac:dyDescent="0.25">
      <c r="C77" t="s">
        <v>9</v>
      </c>
      <c r="D77" t="s">
        <v>34</v>
      </c>
      <c r="E77" t="s">
        <v>20</v>
      </c>
      <c r="F77" s="2">
        <v>8463</v>
      </c>
      <c r="G77" s="3">
        <v>492</v>
      </c>
      <c r="H77" s="45">
        <f>VLOOKUP(data[[#This Row],[Product]],products[],2,FALSE)</f>
        <v>10.62</v>
      </c>
      <c r="I77" s="45">
        <f>data[[#This Row],[Cost Per Unit]]*data[[#This Row],[Units]]</f>
        <v>5225.04</v>
      </c>
    </row>
    <row r="78" spans="3:9" x14ac:dyDescent="0.25">
      <c r="C78" t="s">
        <v>5</v>
      </c>
      <c r="D78" t="s">
        <v>34</v>
      </c>
      <c r="E78" t="s">
        <v>29</v>
      </c>
      <c r="F78" s="2">
        <v>2891</v>
      </c>
      <c r="G78" s="3">
        <v>102</v>
      </c>
      <c r="H78" s="45">
        <f>VLOOKUP(data[[#This Row],[Product]],products[],2,FALSE)</f>
        <v>7.16</v>
      </c>
      <c r="I78" s="45">
        <f>data[[#This Row],[Cost Per Unit]]*data[[#This Row],[Units]]</f>
        <v>730.32</v>
      </c>
    </row>
    <row r="79" spans="3:9" x14ac:dyDescent="0.25">
      <c r="C79" t="s">
        <v>3</v>
      </c>
      <c r="D79" t="s">
        <v>36</v>
      </c>
      <c r="E79" t="s">
        <v>23</v>
      </c>
      <c r="F79" s="2">
        <v>3773</v>
      </c>
      <c r="G79" s="3">
        <v>165</v>
      </c>
      <c r="H79" s="45">
        <f>VLOOKUP(data[[#This Row],[Product]],products[],2,FALSE)</f>
        <v>6.49</v>
      </c>
      <c r="I79" s="45">
        <f>data[[#This Row],[Cost Per Unit]]*data[[#This Row],[Units]]</f>
        <v>1070.8500000000001</v>
      </c>
    </row>
    <row r="80" spans="3:9" x14ac:dyDescent="0.25">
      <c r="C80" t="s">
        <v>41</v>
      </c>
      <c r="D80" t="s">
        <v>36</v>
      </c>
      <c r="E80" t="s">
        <v>28</v>
      </c>
      <c r="F80" s="2">
        <v>854</v>
      </c>
      <c r="G80" s="3">
        <v>309</v>
      </c>
      <c r="H80" s="45">
        <f>VLOOKUP(data[[#This Row],[Product]],products[],2,FALSE)</f>
        <v>10.38</v>
      </c>
      <c r="I80" s="45">
        <f>data[[#This Row],[Cost Per Unit]]*data[[#This Row],[Units]]</f>
        <v>3207.42</v>
      </c>
    </row>
    <row r="81" spans="3:9" x14ac:dyDescent="0.25">
      <c r="C81" t="s">
        <v>6</v>
      </c>
      <c r="D81" t="s">
        <v>36</v>
      </c>
      <c r="E81" t="s">
        <v>17</v>
      </c>
      <c r="F81" s="2">
        <v>4970</v>
      </c>
      <c r="G81" s="3">
        <v>156</v>
      </c>
      <c r="H81" s="45">
        <f>VLOOKUP(data[[#This Row],[Product]],products[],2,FALSE)</f>
        <v>3.11</v>
      </c>
      <c r="I81" s="45">
        <f>data[[#This Row],[Cost Per Unit]]*data[[#This Row],[Units]]</f>
        <v>485.15999999999997</v>
      </c>
    </row>
    <row r="82" spans="3:9" x14ac:dyDescent="0.25">
      <c r="C82" t="s">
        <v>9</v>
      </c>
      <c r="D82" t="s">
        <v>35</v>
      </c>
      <c r="E82" t="s">
        <v>26</v>
      </c>
      <c r="F82" s="2">
        <v>98</v>
      </c>
      <c r="G82" s="3">
        <v>159</v>
      </c>
      <c r="H82" s="45">
        <f>VLOOKUP(data[[#This Row],[Product]],products[],2,FALSE)</f>
        <v>5.6</v>
      </c>
      <c r="I82" s="45">
        <f>data[[#This Row],[Cost Per Unit]]*data[[#This Row],[Units]]</f>
        <v>890.4</v>
      </c>
    </row>
    <row r="83" spans="3:9" x14ac:dyDescent="0.25">
      <c r="C83" t="s">
        <v>5</v>
      </c>
      <c r="D83" t="s">
        <v>35</v>
      </c>
      <c r="E83" t="s">
        <v>15</v>
      </c>
      <c r="F83" s="2">
        <v>13391</v>
      </c>
      <c r="G83" s="3">
        <v>201</v>
      </c>
      <c r="H83" s="45">
        <f>VLOOKUP(data[[#This Row],[Product]],products[],2,FALSE)</f>
        <v>11.73</v>
      </c>
      <c r="I83" s="45">
        <f>data[[#This Row],[Cost Per Unit]]*data[[#This Row],[Units]]</f>
        <v>2357.73</v>
      </c>
    </row>
    <row r="84" spans="3:9" x14ac:dyDescent="0.25">
      <c r="C84" t="s">
        <v>8</v>
      </c>
      <c r="D84" t="s">
        <v>39</v>
      </c>
      <c r="E84" t="s">
        <v>31</v>
      </c>
      <c r="F84" s="2">
        <v>8890</v>
      </c>
      <c r="G84" s="3">
        <v>210</v>
      </c>
      <c r="H84" s="45">
        <f>VLOOKUP(data[[#This Row],[Product]],products[],2,FALSE)</f>
        <v>5.79</v>
      </c>
      <c r="I84" s="45">
        <f>data[[#This Row],[Cost Per Unit]]*data[[#This Row],[Units]]</f>
        <v>1215.9000000000001</v>
      </c>
    </row>
    <row r="85" spans="3:9" x14ac:dyDescent="0.25">
      <c r="C85" t="s">
        <v>2</v>
      </c>
      <c r="D85" t="s">
        <v>38</v>
      </c>
      <c r="E85" t="s">
        <v>13</v>
      </c>
      <c r="F85" s="2">
        <v>56</v>
      </c>
      <c r="G85" s="3">
        <v>51</v>
      </c>
      <c r="H85" s="45">
        <f>VLOOKUP(data[[#This Row],[Product]],products[],2,FALSE)</f>
        <v>9.33</v>
      </c>
      <c r="I85" s="45">
        <f>data[[#This Row],[Cost Per Unit]]*data[[#This Row],[Units]]</f>
        <v>475.83</v>
      </c>
    </row>
    <row r="86" spans="3:9" x14ac:dyDescent="0.25">
      <c r="C86" t="s">
        <v>3</v>
      </c>
      <c r="D86" t="s">
        <v>36</v>
      </c>
      <c r="E86" t="s">
        <v>25</v>
      </c>
      <c r="F86" s="2">
        <v>3339</v>
      </c>
      <c r="G86" s="3">
        <v>39</v>
      </c>
      <c r="H86" s="45">
        <f>VLOOKUP(data[[#This Row],[Product]],products[],2,FALSE)</f>
        <v>13.15</v>
      </c>
      <c r="I86" s="45">
        <f>data[[#This Row],[Cost Per Unit]]*data[[#This Row],[Units]]</f>
        <v>512.85</v>
      </c>
    </row>
    <row r="87" spans="3:9" x14ac:dyDescent="0.25">
      <c r="C87" t="s">
        <v>10</v>
      </c>
      <c r="D87" t="s">
        <v>35</v>
      </c>
      <c r="E87" t="s">
        <v>18</v>
      </c>
      <c r="F87" s="2">
        <v>3808</v>
      </c>
      <c r="G87" s="3">
        <v>279</v>
      </c>
      <c r="H87" s="45">
        <f>VLOOKUP(data[[#This Row],[Product]],products[],2,FALSE)</f>
        <v>6.47</v>
      </c>
      <c r="I87" s="45">
        <f>data[[#This Row],[Cost Per Unit]]*data[[#This Row],[Units]]</f>
        <v>1805.1299999999999</v>
      </c>
    </row>
    <row r="88" spans="3:9" x14ac:dyDescent="0.25">
      <c r="C88" t="s">
        <v>10</v>
      </c>
      <c r="D88" t="s">
        <v>38</v>
      </c>
      <c r="E88" t="s">
        <v>13</v>
      </c>
      <c r="F88" s="2">
        <v>63</v>
      </c>
      <c r="G88" s="3">
        <v>123</v>
      </c>
      <c r="H88" s="45">
        <f>VLOOKUP(data[[#This Row],[Product]],products[],2,FALSE)</f>
        <v>9.33</v>
      </c>
      <c r="I88" s="45">
        <f>data[[#This Row],[Cost Per Unit]]*data[[#This Row],[Units]]</f>
        <v>1147.5899999999999</v>
      </c>
    </row>
    <row r="89" spans="3:9" x14ac:dyDescent="0.25">
      <c r="C89" t="s">
        <v>2</v>
      </c>
      <c r="D89" t="s">
        <v>39</v>
      </c>
      <c r="E89" t="s">
        <v>27</v>
      </c>
      <c r="F89" s="2">
        <v>7812</v>
      </c>
      <c r="G89" s="3">
        <v>81</v>
      </c>
      <c r="H89" s="45">
        <f>VLOOKUP(data[[#This Row],[Product]],products[],2,FALSE)</f>
        <v>16.73</v>
      </c>
      <c r="I89" s="45">
        <f>data[[#This Row],[Cost Per Unit]]*data[[#This Row],[Units]]</f>
        <v>1355.13</v>
      </c>
    </row>
    <row r="90" spans="3:9" x14ac:dyDescent="0.25">
      <c r="C90" t="s">
        <v>40</v>
      </c>
      <c r="D90" t="s">
        <v>37</v>
      </c>
      <c r="E90" t="s">
        <v>19</v>
      </c>
      <c r="F90" s="2">
        <v>7693</v>
      </c>
      <c r="G90" s="3">
        <v>21</v>
      </c>
      <c r="H90" s="45">
        <f>VLOOKUP(data[[#This Row],[Product]],products[],2,FALSE)</f>
        <v>7.64</v>
      </c>
      <c r="I90" s="45">
        <f>data[[#This Row],[Cost Per Unit]]*data[[#This Row],[Units]]</f>
        <v>160.44</v>
      </c>
    </row>
    <row r="91" spans="3:9" x14ac:dyDescent="0.25">
      <c r="C91" t="s">
        <v>3</v>
      </c>
      <c r="D91" t="s">
        <v>36</v>
      </c>
      <c r="E91" t="s">
        <v>28</v>
      </c>
      <c r="F91" s="2">
        <v>973</v>
      </c>
      <c r="G91" s="3">
        <v>162</v>
      </c>
      <c r="H91" s="45">
        <f>VLOOKUP(data[[#This Row],[Product]],products[],2,FALSE)</f>
        <v>10.38</v>
      </c>
      <c r="I91" s="45">
        <f>data[[#This Row],[Cost Per Unit]]*data[[#This Row],[Units]]</f>
        <v>1681.5600000000002</v>
      </c>
    </row>
    <row r="92" spans="3:9" x14ac:dyDescent="0.25">
      <c r="C92" t="s">
        <v>10</v>
      </c>
      <c r="D92" t="s">
        <v>35</v>
      </c>
      <c r="E92" t="s">
        <v>21</v>
      </c>
      <c r="F92" s="2">
        <v>567</v>
      </c>
      <c r="G92" s="3">
        <v>228</v>
      </c>
      <c r="H92" s="45">
        <f>VLOOKUP(data[[#This Row],[Product]],products[],2,FALSE)</f>
        <v>9</v>
      </c>
      <c r="I92" s="45">
        <f>data[[#This Row],[Cost Per Unit]]*data[[#This Row],[Units]]</f>
        <v>2052</v>
      </c>
    </row>
    <row r="93" spans="3:9" x14ac:dyDescent="0.25">
      <c r="C93" t="s">
        <v>10</v>
      </c>
      <c r="D93" t="s">
        <v>36</v>
      </c>
      <c r="E93" t="s">
        <v>29</v>
      </c>
      <c r="F93" s="2">
        <v>2471</v>
      </c>
      <c r="G93" s="3">
        <v>342</v>
      </c>
      <c r="H93" s="45">
        <f>VLOOKUP(data[[#This Row],[Product]],products[],2,FALSE)</f>
        <v>7.16</v>
      </c>
      <c r="I93" s="45">
        <f>data[[#This Row],[Cost Per Unit]]*data[[#This Row],[Units]]</f>
        <v>2448.7200000000003</v>
      </c>
    </row>
    <row r="94" spans="3:9" x14ac:dyDescent="0.25">
      <c r="C94" t="s">
        <v>5</v>
      </c>
      <c r="D94" t="s">
        <v>38</v>
      </c>
      <c r="E94" t="s">
        <v>13</v>
      </c>
      <c r="F94" s="2">
        <v>7189</v>
      </c>
      <c r="G94" s="3">
        <v>54</v>
      </c>
      <c r="H94" s="45">
        <f>VLOOKUP(data[[#This Row],[Product]],products[],2,FALSE)</f>
        <v>9.33</v>
      </c>
      <c r="I94" s="45">
        <f>data[[#This Row],[Cost Per Unit]]*data[[#This Row],[Units]]</f>
        <v>503.82</v>
      </c>
    </row>
    <row r="95" spans="3:9" x14ac:dyDescent="0.25">
      <c r="C95" t="s">
        <v>41</v>
      </c>
      <c r="D95" t="s">
        <v>35</v>
      </c>
      <c r="E95" t="s">
        <v>28</v>
      </c>
      <c r="F95" s="2">
        <v>7455</v>
      </c>
      <c r="G95" s="3">
        <v>216</v>
      </c>
      <c r="H95" s="45">
        <f>VLOOKUP(data[[#This Row],[Product]],products[],2,FALSE)</f>
        <v>10.38</v>
      </c>
      <c r="I95" s="45">
        <f>data[[#This Row],[Cost Per Unit]]*data[[#This Row],[Units]]</f>
        <v>2242.0800000000004</v>
      </c>
    </row>
    <row r="96" spans="3:9" x14ac:dyDescent="0.25">
      <c r="C96" t="s">
        <v>3</v>
      </c>
      <c r="D96" t="s">
        <v>34</v>
      </c>
      <c r="E96" t="s">
        <v>26</v>
      </c>
      <c r="F96" s="2">
        <v>3108</v>
      </c>
      <c r="G96" s="3">
        <v>54</v>
      </c>
      <c r="H96" s="45">
        <f>VLOOKUP(data[[#This Row],[Product]],products[],2,FALSE)</f>
        <v>5.6</v>
      </c>
      <c r="I96" s="45">
        <f>data[[#This Row],[Cost Per Unit]]*data[[#This Row],[Units]]</f>
        <v>302.39999999999998</v>
      </c>
    </row>
    <row r="97" spans="3:9" x14ac:dyDescent="0.25">
      <c r="C97" t="s">
        <v>6</v>
      </c>
      <c r="D97" t="s">
        <v>38</v>
      </c>
      <c r="E97" t="s">
        <v>25</v>
      </c>
      <c r="F97" s="2">
        <v>469</v>
      </c>
      <c r="G97" s="3">
        <v>75</v>
      </c>
      <c r="H97" s="45">
        <f>VLOOKUP(data[[#This Row],[Product]],products[],2,FALSE)</f>
        <v>13.15</v>
      </c>
      <c r="I97" s="45">
        <f>data[[#This Row],[Cost Per Unit]]*data[[#This Row],[Units]]</f>
        <v>986.25</v>
      </c>
    </row>
    <row r="98" spans="3:9" x14ac:dyDescent="0.25">
      <c r="C98" t="s">
        <v>9</v>
      </c>
      <c r="D98" t="s">
        <v>37</v>
      </c>
      <c r="E98" t="s">
        <v>23</v>
      </c>
      <c r="F98" s="2">
        <v>2737</v>
      </c>
      <c r="G98" s="3">
        <v>93</v>
      </c>
      <c r="H98" s="45">
        <f>VLOOKUP(data[[#This Row],[Product]],products[],2,FALSE)</f>
        <v>6.49</v>
      </c>
      <c r="I98" s="45">
        <f>data[[#This Row],[Cost Per Unit]]*data[[#This Row],[Units]]</f>
        <v>603.57000000000005</v>
      </c>
    </row>
    <row r="99" spans="3:9" x14ac:dyDescent="0.25">
      <c r="C99" t="s">
        <v>9</v>
      </c>
      <c r="D99" t="s">
        <v>37</v>
      </c>
      <c r="E99" t="s">
        <v>25</v>
      </c>
      <c r="F99" s="2">
        <v>4305</v>
      </c>
      <c r="G99" s="3">
        <v>156</v>
      </c>
      <c r="H99" s="45">
        <f>VLOOKUP(data[[#This Row],[Product]],products[],2,FALSE)</f>
        <v>13.15</v>
      </c>
      <c r="I99" s="45">
        <f>data[[#This Row],[Cost Per Unit]]*data[[#This Row],[Units]]</f>
        <v>2051.4</v>
      </c>
    </row>
    <row r="100" spans="3:9" x14ac:dyDescent="0.25">
      <c r="C100" t="s">
        <v>9</v>
      </c>
      <c r="D100" t="s">
        <v>38</v>
      </c>
      <c r="E100" t="s">
        <v>17</v>
      </c>
      <c r="F100" s="2">
        <v>2408</v>
      </c>
      <c r="G100" s="3">
        <v>9</v>
      </c>
      <c r="H100" s="45">
        <f>VLOOKUP(data[[#This Row],[Product]],products[],2,FALSE)</f>
        <v>3.11</v>
      </c>
      <c r="I100" s="45">
        <f>data[[#This Row],[Cost Per Unit]]*data[[#This Row],[Units]]</f>
        <v>27.99</v>
      </c>
    </row>
    <row r="101" spans="3:9" x14ac:dyDescent="0.25">
      <c r="C101" t="s">
        <v>3</v>
      </c>
      <c r="D101" t="s">
        <v>36</v>
      </c>
      <c r="E101" t="s">
        <v>19</v>
      </c>
      <c r="F101" s="2">
        <v>1281</v>
      </c>
      <c r="G101" s="3">
        <v>18</v>
      </c>
      <c r="H101" s="45">
        <f>VLOOKUP(data[[#This Row],[Product]],products[],2,FALSE)</f>
        <v>7.64</v>
      </c>
      <c r="I101" s="45">
        <f>data[[#This Row],[Cost Per Unit]]*data[[#This Row],[Units]]</f>
        <v>137.51999999999998</v>
      </c>
    </row>
    <row r="102" spans="3:9" x14ac:dyDescent="0.25">
      <c r="C102" t="s">
        <v>40</v>
      </c>
      <c r="D102" t="s">
        <v>35</v>
      </c>
      <c r="E102" t="s">
        <v>32</v>
      </c>
      <c r="F102" s="2">
        <v>12348</v>
      </c>
      <c r="G102" s="3">
        <v>234</v>
      </c>
      <c r="H102" s="45">
        <f>VLOOKUP(data[[#This Row],[Product]],products[],2,FALSE)</f>
        <v>8.65</v>
      </c>
      <c r="I102" s="45">
        <f>data[[#This Row],[Cost Per Unit]]*data[[#This Row],[Units]]</f>
        <v>2024.1000000000001</v>
      </c>
    </row>
    <row r="103" spans="3:9" x14ac:dyDescent="0.25">
      <c r="C103" t="s">
        <v>3</v>
      </c>
      <c r="D103" t="s">
        <v>34</v>
      </c>
      <c r="E103" t="s">
        <v>28</v>
      </c>
      <c r="F103" s="2">
        <v>3689</v>
      </c>
      <c r="G103" s="3">
        <v>312</v>
      </c>
      <c r="H103" s="45">
        <f>VLOOKUP(data[[#This Row],[Product]],products[],2,FALSE)</f>
        <v>10.38</v>
      </c>
      <c r="I103" s="45">
        <f>data[[#This Row],[Cost Per Unit]]*data[[#This Row],[Units]]</f>
        <v>3238.5600000000004</v>
      </c>
    </row>
    <row r="104" spans="3:9" x14ac:dyDescent="0.25">
      <c r="C104" t="s">
        <v>7</v>
      </c>
      <c r="D104" t="s">
        <v>36</v>
      </c>
      <c r="E104" t="s">
        <v>19</v>
      </c>
      <c r="F104" s="2">
        <v>2870</v>
      </c>
      <c r="G104" s="3">
        <v>300</v>
      </c>
      <c r="H104" s="45">
        <f>VLOOKUP(data[[#This Row],[Product]],products[],2,FALSE)</f>
        <v>7.64</v>
      </c>
      <c r="I104" s="45">
        <f>data[[#This Row],[Cost Per Unit]]*data[[#This Row],[Units]]</f>
        <v>2292</v>
      </c>
    </row>
    <row r="105" spans="3:9" x14ac:dyDescent="0.25">
      <c r="C105" t="s">
        <v>2</v>
      </c>
      <c r="D105" t="s">
        <v>36</v>
      </c>
      <c r="E105" t="s">
        <v>27</v>
      </c>
      <c r="F105" s="2">
        <v>798</v>
      </c>
      <c r="G105" s="3">
        <v>519</v>
      </c>
      <c r="H105" s="45">
        <f>VLOOKUP(data[[#This Row],[Product]],products[],2,FALSE)</f>
        <v>16.73</v>
      </c>
      <c r="I105" s="45">
        <f>data[[#This Row],[Cost Per Unit]]*data[[#This Row],[Units]]</f>
        <v>8682.8700000000008</v>
      </c>
    </row>
    <row r="106" spans="3:9" x14ac:dyDescent="0.25">
      <c r="C106" t="s">
        <v>41</v>
      </c>
      <c r="D106" t="s">
        <v>37</v>
      </c>
      <c r="E106" t="s">
        <v>21</v>
      </c>
      <c r="F106" s="2">
        <v>2933</v>
      </c>
      <c r="G106" s="3">
        <v>9</v>
      </c>
      <c r="H106" s="45">
        <f>VLOOKUP(data[[#This Row],[Product]],products[],2,FALSE)</f>
        <v>9</v>
      </c>
      <c r="I106" s="45">
        <f>data[[#This Row],[Cost Per Unit]]*data[[#This Row],[Units]]</f>
        <v>81</v>
      </c>
    </row>
    <row r="107" spans="3:9" x14ac:dyDescent="0.25">
      <c r="C107" t="s">
        <v>5</v>
      </c>
      <c r="D107" t="s">
        <v>35</v>
      </c>
      <c r="E107" t="s">
        <v>4</v>
      </c>
      <c r="F107" s="2">
        <v>2744</v>
      </c>
      <c r="G107" s="3">
        <v>9</v>
      </c>
      <c r="H107" s="45">
        <f>VLOOKUP(data[[#This Row],[Product]],products[],2,FALSE)</f>
        <v>11.88</v>
      </c>
      <c r="I107" s="45">
        <f>data[[#This Row],[Cost Per Unit]]*data[[#This Row],[Units]]</f>
        <v>106.92</v>
      </c>
    </row>
    <row r="108" spans="3:9" x14ac:dyDescent="0.25">
      <c r="C108" t="s">
        <v>40</v>
      </c>
      <c r="D108" t="s">
        <v>36</v>
      </c>
      <c r="E108" t="s">
        <v>33</v>
      </c>
      <c r="F108" s="2">
        <v>9772</v>
      </c>
      <c r="G108" s="3">
        <v>90</v>
      </c>
      <c r="H108" s="45">
        <f>VLOOKUP(data[[#This Row],[Product]],products[],2,FALSE)</f>
        <v>12.37</v>
      </c>
      <c r="I108" s="45">
        <f>data[[#This Row],[Cost Per Unit]]*data[[#This Row],[Units]]</f>
        <v>1113.3</v>
      </c>
    </row>
    <row r="109" spans="3:9" x14ac:dyDescent="0.25">
      <c r="C109" t="s">
        <v>7</v>
      </c>
      <c r="D109" t="s">
        <v>34</v>
      </c>
      <c r="E109" t="s">
        <v>25</v>
      </c>
      <c r="F109" s="2">
        <v>1568</v>
      </c>
      <c r="G109" s="3">
        <v>96</v>
      </c>
      <c r="H109" s="45">
        <f>VLOOKUP(data[[#This Row],[Product]],products[],2,FALSE)</f>
        <v>13.15</v>
      </c>
      <c r="I109" s="45">
        <f>data[[#This Row],[Cost Per Unit]]*data[[#This Row],[Units]]</f>
        <v>1262.4000000000001</v>
      </c>
    </row>
    <row r="110" spans="3:9" x14ac:dyDescent="0.25">
      <c r="C110" t="s">
        <v>2</v>
      </c>
      <c r="D110" t="s">
        <v>36</v>
      </c>
      <c r="E110" t="s">
        <v>16</v>
      </c>
      <c r="F110" s="2">
        <v>11417</v>
      </c>
      <c r="G110" s="3">
        <v>21</v>
      </c>
      <c r="H110" s="45">
        <f>VLOOKUP(data[[#This Row],[Product]],products[],2,FALSE)</f>
        <v>8.7899999999999991</v>
      </c>
      <c r="I110" s="45">
        <f>data[[#This Row],[Cost Per Unit]]*data[[#This Row],[Units]]</f>
        <v>184.58999999999997</v>
      </c>
    </row>
    <row r="111" spans="3:9" x14ac:dyDescent="0.25">
      <c r="C111" t="s">
        <v>40</v>
      </c>
      <c r="D111" t="s">
        <v>34</v>
      </c>
      <c r="E111" t="s">
        <v>26</v>
      </c>
      <c r="F111" s="2">
        <v>6748</v>
      </c>
      <c r="G111" s="3">
        <v>48</v>
      </c>
      <c r="H111" s="45">
        <f>VLOOKUP(data[[#This Row],[Product]],products[],2,FALSE)</f>
        <v>5.6</v>
      </c>
      <c r="I111" s="45">
        <f>data[[#This Row],[Cost Per Unit]]*data[[#This Row],[Units]]</f>
        <v>268.79999999999995</v>
      </c>
    </row>
    <row r="112" spans="3:9" x14ac:dyDescent="0.25">
      <c r="C112" t="s">
        <v>10</v>
      </c>
      <c r="D112" t="s">
        <v>36</v>
      </c>
      <c r="E112" t="s">
        <v>27</v>
      </c>
      <c r="F112" s="2">
        <v>1407</v>
      </c>
      <c r="G112" s="3">
        <v>72</v>
      </c>
      <c r="H112" s="45">
        <f>VLOOKUP(data[[#This Row],[Product]],products[],2,FALSE)</f>
        <v>16.73</v>
      </c>
      <c r="I112" s="45">
        <f>data[[#This Row],[Cost Per Unit]]*data[[#This Row],[Units]]</f>
        <v>1204.56</v>
      </c>
    </row>
    <row r="113" spans="3:9" x14ac:dyDescent="0.25">
      <c r="C113" t="s">
        <v>8</v>
      </c>
      <c r="D113" t="s">
        <v>35</v>
      </c>
      <c r="E113" t="s">
        <v>29</v>
      </c>
      <c r="F113" s="2">
        <v>2023</v>
      </c>
      <c r="G113" s="3">
        <v>168</v>
      </c>
      <c r="H113" s="45">
        <f>VLOOKUP(data[[#This Row],[Product]],products[],2,FALSE)</f>
        <v>7.16</v>
      </c>
      <c r="I113" s="45">
        <f>data[[#This Row],[Cost Per Unit]]*data[[#This Row],[Units]]</f>
        <v>1202.8800000000001</v>
      </c>
    </row>
    <row r="114" spans="3:9" x14ac:dyDescent="0.25">
      <c r="C114" t="s">
        <v>5</v>
      </c>
      <c r="D114" t="s">
        <v>39</v>
      </c>
      <c r="E114" t="s">
        <v>26</v>
      </c>
      <c r="F114" s="2">
        <v>5236</v>
      </c>
      <c r="G114" s="3">
        <v>51</v>
      </c>
      <c r="H114" s="45">
        <f>VLOOKUP(data[[#This Row],[Product]],products[],2,FALSE)</f>
        <v>5.6</v>
      </c>
      <c r="I114" s="45">
        <f>data[[#This Row],[Cost Per Unit]]*data[[#This Row],[Units]]</f>
        <v>285.59999999999997</v>
      </c>
    </row>
    <row r="115" spans="3:9" x14ac:dyDescent="0.25">
      <c r="C115" t="s">
        <v>41</v>
      </c>
      <c r="D115" t="s">
        <v>36</v>
      </c>
      <c r="E115" t="s">
        <v>19</v>
      </c>
      <c r="F115" s="2">
        <v>1925</v>
      </c>
      <c r="G115" s="3">
        <v>192</v>
      </c>
      <c r="H115" s="45">
        <f>VLOOKUP(data[[#This Row],[Product]],products[],2,FALSE)</f>
        <v>7.64</v>
      </c>
      <c r="I115" s="45">
        <f>data[[#This Row],[Cost Per Unit]]*data[[#This Row],[Units]]</f>
        <v>1466.8799999999999</v>
      </c>
    </row>
    <row r="116" spans="3:9" x14ac:dyDescent="0.25">
      <c r="C116" t="s">
        <v>7</v>
      </c>
      <c r="D116" t="s">
        <v>37</v>
      </c>
      <c r="E116" t="s">
        <v>14</v>
      </c>
      <c r="F116" s="2">
        <v>6608</v>
      </c>
      <c r="G116" s="3">
        <v>225</v>
      </c>
      <c r="H116" s="45">
        <f>VLOOKUP(data[[#This Row],[Product]],products[],2,FALSE)</f>
        <v>11.7</v>
      </c>
      <c r="I116" s="45">
        <f>data[[#This Row],[Cost Per Unit]]*data[[#This Row],[Units]]</f>
        <v>2632.5</v>
      </c>
    </row>
    <row r="117" spans="3:9" x14ac:dyDescent="0.25">
      <c r="C117" t="s">
        <v>6</v>
      </c>
      <c r="D117" t="s">
        <v>34</v>
      </c>
      <c r="E117" t="s">
        <v>26</v>
      </c>
      <c r="F117" s="2">
        <v>8008</v>
      </c>
      <c r="G117" s="3">
        <v>456</v>
      </c>
      <c r="H117" s="45">
        <f>VLOOKUP(data[[#This Row],[Product]],products[],2,FALSE)</f>
        <v>5.6</v>
      </c>
      <c r="I117" s="45">
        <f>data[[#This Row],[Cost Per Unit]]*data[[#This Row],[Units]]</f>
        <v>2553.6</v>
      </c>
    </row>
    <row r="118" spans="3:9" x14ac:dyDescent="0.25">
      <c r="C118" t="s">
        <v>10</v>
      </c>
      <c r="D118" t="s">
        <v>34</v>
      </c>
      <c r="E118" t="s">
        <v>25</v>
      </c>
      <c r="F118" s="2">
        <v>1428</v>
      </c>
      <c r="G118" s="3">
        <v>93</v>
      </c>
      <c r="H118" s="45">
        <f>VLOOKUP(data[[#This Row],[Product]],products[],2,FALSE)</f>
        <v>13.15</v>
      </c>
      <c r="I118" s="45">
        <f>data[[#This Row],[Cost Per Unit]]*data[[#This Row],[Units]]</f>
        <v>1222.95</v>
      </c>
    </row>
    <row r="119" spans="3:9" x14ac:dyDescent="0.25">
      <c r="C119" t="s">
        <v>6</v>
      </c>
      <c r="D119" t="s">
        <v>34</v>
      </c>
      <c r="E119" t="s">
        <v>4</v>
      </c>
      <c r="F119" s="2">
        <v>525</v>
      </c>
      <c r="G119" s="3">
        <v>48</v>
      </c>
      <c r="H119" s="45">
        <f>VLOOKUP(data[[#This Row],[Product]],products[],2,FALSE)</f>
        <v>11.88</v>
      </c>
      <c r="I119" s="45">
        <f>data[[#This Row],[Cost Per Unit]]*data[[#This Row],[Units]]</f>
        <v>570.24</v>
      </c>
    </row>
    <row r="120" spans="3:9" x14ac:dyDescent="0.25">
      <c r="C120" t="s">
        <v>6</v>
      </c>
      <c r="D120" t="s">
        <v>37</v>
      </c>
      <c r="E120" t="s">
        <v>18</v>
      </c>
      <c r="F120" s="2">
        <v>1505</v>
      </c>
      <c r="G120" s="3">
        <v>102</v>
      </c>
      <c r="H120" s="45">
        <f>VLOOKUP(data[[#This Row],[Product]],products[],2,FALSE)</f>
        <v>6.47</v>
      </c>
      <c r="I120" s="45">
        <f>data[[#This Row],[Cost Per Unit]]*data[[#This Row],[Units]]</f>
        <v>659.93999999999994</v>
      </c>
    </row>
    <row r="121" spans="3:9" x14ac:dyDescent="0.25">
      <c r="C121" t="s">
        <v>7</v>
      </c>
      <c r="D121" t="s">
        <v>35</v>
      </c>
      <c r="E121" t="s">
        <v>30</v>
      </c>
      <c r="F121" s="2">
        <v>6755</v>
      </c>
      <c r="G121" s="3">
        <v>252</v>
      </c>
      <c r="H121" s="45">
        <f>VLOOKUP(data[[#This Row],[Product]],products[],2,FALSE)</f>
        <v>14.49</v>
      </c>
      <c r="I121" s="45">
        <f>data[[#This Row],[Cost Per Unit]]*data[[#This Row],[Units]]</f>
        <v>3651.48</v>
      </c>
    </row>
    <row r="122" spans="3:9" x14ac:dyDescent="0.25">
      <c r="C122" t="s">
        <v>2</v>
      </c>
      <c r="D122" t="s">
        <v>37</v>
      </c>
      <c r="E122" t="s">
        <v>18</v>
      </c>
      <c r="F122" s="2">
        <v>11571</v>
      </c>
      <c r="G122" s="3">
        <v>138</v>
      </c>
      <c r="H122" s="45">
        <f>VLOOKUP(data[[#This Row],[Product]],products[],2,FALSE)</f>
        <v>6.47</v>
      </c>
      <c r="I122" s="45">
        <f>data[[#This Row],[Cost Per Unit]]*data[[#This Row],[Units]]</f>
        <v>892.86</v>
      </c>
    </row>
    <row r="123" spans="3:9" x14ac:dyDescent="0.25">
      <c r="C123" t="s">
        <v>40</v>
      </c>
      <c r="D123" t="s">
        <v>38</v>
      </c>
      <c r="E123" t="s">
        <v>25</v>
      </c>
      <c r="F123" s="2">
        <v>2541</v>
      </c>
      <c r="G123" s="3">
        <v>90</v>
      </c>
      <c r="H123" s="45">
        <f>VLOOKUP(data[[#This Row],[Product]],products[],2,FALSE)</f>
        <v>13.15</v>
      </c>
      <c r="I123" s="45">
        <f>data[[#This Row],[Cost Per Unit]]*data[[#This Row],[Units]]</f>
        <v>1183.5</v>
      </c>
    </row>
    <row r="124" spans="3:9" x14ac:dyDescent="0.25">
      <c r="C124" t="s">
        <v>41</v>
      </c>
      <c r="D124" t="s">
        <v>37</v>
      </c>
      <c r="E124" t="s">
        <v>30</v>
      </c>
      <c r="F124" s="2">
        <v>1526</v>
      </c>
      <c r="G124" s="3">
        <v>240</v>
      </c>
      <c r="H124" s="45">
        <f>VLOOKUP(data[[#This Row],[Product]],products[],2,FALSE)</f>
        <v>14.49</v>
      </c>
      <c r="I124" s="45">
        <f>data[[#This Row],[Cost Per Unit]]*data[[#This Row],[Units]]</f>
        <v>3477.6</v>
      </c>
    </row>
    <row r="125" spans="3:9" x14ac:dyDescent="0.25">
      <c r="C125" t="s">
        <v>40</v>
      </c>
      <c r="D125" t="s">
        <v>38</v>
      </c>
      <c r="E125" t="s">
        <v>4</v>
      </c>
      <c r="F125" s="2">
        <v>6125</v>
      </c>
      <c r="G125" s="3">
        <v>102</v>
      </c>
      <c r="H125" s="45">
        <f>VLOOKUP(data[[#This Row],[Product]],products[],2,FALSE)</f>
        <v>11.88</v>
      </c>
      <c r="I125" s="45">
        <f>data[[#This Row],[Cost Per Unit]]*data[[#This Row],[Units]]</f>
        <v>1211.76</v>
      </c>
    </row>
    <row r="126" spans="3:9" x14ac:dyDescent="0.25">
      <c r="C126" t="s">
        <v>41</v>
      </c>
      <c r="D126" t="s">
        <v>35</v>
      </c>
      <c r="E126" t="s">
        <v>27</v>
      </c>
      <c r="F126" s="2">
        <v>847</v>
      </c>
      <c r="G126" s="3">
        <v>129</v>
      </c>
      <c r="H126" s="45">
        <f>VLOOKUP(data[[#This Row],[Product]],products[],2,FALSE)</f>
        <v>16.73</v>
      </c>
      <c r="I126" s="45">
        <f>data[[#This Row],[Cost Per Unit]]*data[[#This Row],[Units]]</f>
        <v>2158.17</v>
      </c>
    </row>
    <row r="127" spans="3:9" x14ac:dyDescent="0.25">
      <c r="C127" t="s">
        <v>8</v>
      </c>
      <c r="D127" t="s">
        <v>35</v>
      </c>
      <c r="E127" t="s">
        <v>27</v>
      </c>
      <c r="F127" s="2">
        <v>4753</v>
      </c>
      <c r="G127" s="3">
        <v>300</v>
      </c>
      <c r="H127" s="45">
        <f>VLOOKUP(data[[#This Row],[Product]],products[],2,FALSE)</f>
        <v>16.73</v>
      </c>
      <c r="I127" s="45">
        <f>data[[#This Row],[Cost Per Unit]]*data[[#This Row],[Units]]</f>
        <v>5019</v>
      </c>
    </row>
    <row r="128" spans="3:9" x14ac:dyDescent="0.25">
      <c r="C128" t="s">
        <v>6</v>
      </c>
      <c r="D128" t="s">
        <v>38</v>
      </c>
      <c r="E128" t="s">
        <v>33</v>
      </c>
      <c r="F128" s="2">
        <v>959</v>
      </c>
      <c r="G128" s="3">
        <v>135</v>
      </c>
      <c r="H128" s="45">
        <f>VLOOKUP(data[[#This Row],[Product]],products[],2,FALSE)</f>
        <v>12.37</v>
      </c>
      <c r="I128" s="45">
        <f>data[[#This Row],[Cost Per Unit]]*data[[#This Row],[Units]]</f>
        <v>1669.9499999999998</v>
      </c>
    </row>
    <row r="129" spans="3:9" x14ac:dyDescent="0.25">
      <c r="C129" t="s">
        <v>7</v>
      </c>
      <c r="D129" t="s">
        <v>35</v>
      </c>
      <c r="E129" t="s">
        <v>24</v>
      </c>
      <c r="F129" s="2">
        <v>2793</v>
      </c>
      <c r="G129" s="3">
        <v>114</v>
      </c>
      <c r="H129" s="45">
        <f>VLOOKUP(data[[#This Row],[Product]],products[],2,FALSE)</f>
        <v>4.97</v>
      </c>
      <c r="I129" s="45">
        <f>data[[#This Row],[Cost Per Unit]]*data[[#This Row],[Units]]</f>
        <v>566.57999999999993</v>
      </c>
    </row>
    <row r="130" spans="3:9" x14ac:dyDescent="0.25">
      <c r="C130" t="s">
        <v>7</v>
      </c>
      <c r="D130" t="s">
        <v>35</v>
      </c>
      <c r="E130" t="s">
        <v>14</v>
      </c>
      <c r="F130" s="2">
        <v>4606</v>
      </c>
      <c r="G130" s="3">
        <v>63</v>
      </c>
      <c r="H130" s="45">
        <f>VLOOKUP(data[[#This Row],[Product]],products[],2,FALSE)</f>
        <v>11.7</v>
      </c>
      <c r="I130" s="45">
        <f>data[[#This Row],[Cost Per Unit]]*data[[#This Row],[Units]]</f>
        <v>737.09999999999991</v>
      </c>
    </row>
    <row r="131" spans="3:9" x14ac:dyDescent="0.25">
      <c r="C131" t="s">
        <v>7</v>
      </c>
      <c r="D131" t="s">
        <v>36</v>
      </c>
      <c r="E131" t="s">
        <v>29</v>
      </c>
      <c r="F131" s="2">
        <v>5551</v>
      </c>
      <c r="G131" s="3">
        <v>252</v>
      </c>
      <c r="H131" s="45">
        <f>VLOOKUP(data[[#This Row],[Product]],products[],2,FALSE)</f>
        <v>7.16</v>
      </c>
      <c r="I131" s="45">
        <f>data[[#This Row],[Cost Per Unit]]*data[[#This Row],[Units]]</f>
        <v>1804.32</v>
      </c>
    </row>
    <row r="132" spans="3:9" x14ac:dyDescent="0.25">
      <c r="C132" t="s">
        <v>10</v>
      </c>
      <c r="D132" t="s">
        <v>36</v>
      </c>
      <c r="E132" t="s">
        <v>32</v>
      </c>
      <c r="F132" s="2">
        <v>6657</v>
      </c>
      <c r="G132" s="3">
        <v>303</v>
      </c>
      <c r="H132" s="45">
        <f>VLOOKUP(data[[#This Row],[Product]],products[],2,FALSE)</f>
        <v>8.65</v>
      </c>
      <c r="I132" s="45">
        <f>data[[#This Row],[Cost Per Unit]]*data[[#This Row],[Units]]</f>
        <v>2620.9500000000003</v>
      </c>
    </row>
    <row r="133" spans="3:9" x14ac:dyDescent="0.25">
      <c r="C133" t="s">
        <v>7</v>
      </c>
      <c r="D133" t="s">
        <v>39</v>
      </c>
      <c r="E133" t="s">
        <v>17</v>
      </c>
      <c r="F133" s="2">
        <v>4438</v>
      </c>
      <c r="G133" s="3">
        <v>246</v>
      </c>
      <c r="H133" s="45">
        <f>VLOOKUP(data[[#This Row],[Product]],products[],2,FALSE)</f>
        <v>3.11</v>
      </c>
      <c r="I133" s="45">
        <f>data[[#This Row],[Cost Per Unit]]*data[[#This Row],[Units]]</f>
        <v>765.06</v>
      </c>
    </row>
    <row r="134" spans="3:9" x14ac:dyDescent="0.25">
      <c r="C134" t="s">
        <v>8</v>
      </c>
      <c r="D134" t="s">
        <v>38</v>
      </c>
      <c r="E134" t="s">
        <v>22</v>
      </c>
      <c r="F134" s="2">
        <v>168</v>
      </c>
      <c r="G134" s="3">
        <v>84</v>
      </c>
      <c r="H134" s="45">
        <f>VLOOKUP(data[[#This Row],[Product]],products[],2,FALSE)</f>
        <v>9.77</v>
      </c>
      <c r="I134" s="45">
        <f>data[[#This Row],[Cost Per Unit]]*data[[#This Row],[Units]]</f>
        <v>820.68</v>
      </c>
    </row>
    <row r="135" spans="3:9" x14ac:dyDescent="0.25">
      <c r="C135" t="s">
        <v>7</v>
      </c>
      <c r="D135" t="s">
        <v>34</v>
      </c>
      <c r="E135" t="s">
        <v>17</v>
      </c>
      <c r="F135" s="2">
        <v>7777</v>
      </c>
      <c r="G135" s="3">
        <v>39</v>
      </c>
      <c r="H135" s="45">
        <f>VLOOKUP(data[[#This Row],[Product]],products[],2,FALSE)</f>
        <v>3.11</v>
      </c>
      <c r="I135" s="45">
        <f>data[[#This Row],[Cost Per Unit]]*data[[#This Row],[Units]]</f>
        <v>121.28999999999999</v>
      </c>
    </row>
    <row r="136" spans="3:9" x14ac:dyDescent="0.25">
      <c r="C136" t="s">
        <v>5</v>
      </c>
      <c r="D136" t="s">
        <v>36</v>
      </c>
      <c r="E136" t="s">
        <v>17</v>
      </c>
      <c r="F136" s="2">
        <v>3339</v>
      </c>
      <c r="G136" s="3">
        <v>348</v>
      </c>
      <c r="H136" s="45">
        <f>VLOOKUP(data[[#This Row],[Product]],products[],2,FALSE)</f>
        <v>3.11</v>
      </c>
      <c r="I136" s="45">
        <f>data[[#This Row],[Cost Per Unit]]*data[[#This Row],[Units]]</f>
        <v>1082.28</v>
      </c>
    </row>
    <row r="137" spans="3:9" x14ac:dyDescent="0.25">
      <c r="C137" t="s">
        <v>7</v>
      </c>
      <c r="D137" t="s">
        <v>37</v>
      </c>
      <c r="E137" t="s">
        <v>33</v>
      </c>
      <c r="F137" s="2">
        <v>6391</v>
      </c>
      <c r="G137" s="3">
        <v>48</v>
      </c>
      <c r="H137" s="45">
        <f>VLOOKUP(data[[#This Row],[Product]],products[],2,FALSE)</f>
        <v>12.37</v>
      </c>
      <c r="I137" s="45">
        <f>data[[#This Row],[Cost Per Unit]]*data[[#This Row],[Units]]</f>
        <v>593.76</v>
      </c>
    </row>
    <row r="138" spans="3:9" x14ac:dyDescent="0.25">
      <c r="C138" t="s">
        <v>5</v>
      </c>
      <c r="D138" t="s">
        <v>37</v>
      </c>
      <c r="E138" t="s">
        <v>22</v>
      </c>
      <c r="F138" s="2">
        <v>518</v>
      </c>
      <c r="G138" s="3">
        <v>75</v>
      </c>
      <c r="H138" s="45">
        <f>VLOOKUP(data[[#This Row],[Product]],products[],2,FALSE)</f>
        <v>9.77</v>
      </c>
      <c r="I138" s="45">
        <f>data[[#This Row],[Cost Per Unit]]*data[[#This Row],[Units]]</f>
        <v>732.75</v>
      </c>
    </row>
    <row r="139" spans="3:9" x14ac:dyDescent="0.25">
      <c r="C139" t="s">
        <v>7</v>
      </c>
      <c r="D139" t="s">
        <v>38</v>
      </c>
      <c r="E139" t="s">
        <v>28</v>
      </c>
      <c r="F139" s="2">
        <v>5677</v>
      </c>
      <c r="G139" s="3">
        <v>258</v>
      </c>
      <c r="H139" s="45">
        <f>VLOOKUP(data[[#This Row],[Product]],products[],2,FALSE)</f>
        <v>10.38</v>
      </c>
      <c r="I139" s="45">
        <f>data[[#This Row],[Cost Per Unit]]*data[[#This Row],[Units]]</f>
        <v>2678.0400000000004</v>
      </c>
    </row>
    <row r="140" spans="3:9" x14ac:dyDescent="0.25">
      <c r="C140" t="s">
        <v>6</v>
      </c>
      <c r="D140" t="s">
        <v>39</v>
      </c>
      <c r="E140" t="s">
        <v>17</v>
      </c>
      <c r="F140" s="2">
        <v>6048</v>
      </c>
      <c r="G140" s="3">
        <v>27</v>
      </c>
      <c r="H140" s="45">
        <f>VLOOKUP(data[[#This Row],[Product]],products[],2,FALSE)</f>
        <v>3.11</v>
      </c>
      <c r="I140" s="45">
        <f>data[[#This Row],[Cost Per Unit]]*data[[#This Row],[Units]]</f>
        <v>83.97</v>
      </c>
    </row>
    <row r="141" spans="3:9" x14ac:dyDescent="0.25">
      <c r="C141" t="s">
        <v>8</v>
      </c>
      <c r="D141" t="s">
        <v>38</v>
      </c>
      <c r="E141" t="s">
        <v>32</v>
      </c>
      <c r="F141" s="2">
        <v>3752</v>
      </c>
      <c r="G141" s="3">
        <v>213</v>
      </c>
      <c r="H141" s="45">
        <f>VLOOKUP(data[[#This Row],[Product]],products[],2,FALSE)</f>
        <v>8.65</v>
      </c>
      <c r="I141" s="45">
        <f>data[[#This Row],[Cost Per Unit]]*data[[#This Row],[Units]]</f>
        <v>1842.45</v>
      </c>
    </row>
    <row r="142" spans="3:9" x14ac:dyDescent="0.25">
      <c r="C142" t="s">
        <v>5</v>
      </c>
      <c r="D142" t="s">
        <v>35</v>
      </c>
      <c r="E142" t="s">
        <v>29</v>
      </c>
      <c r="F142" s="2">
        <v>4480</v>
      </c>
      <c r="G142" s="3">
        <v>357</v>
      </c>
      <c r="H142" s="45">
        <f>VLOOKUP(data[[#This Row],[Product]],products[],2,FALSE)</f>
        <v>7.16</v>
      </c>
      <c r="I142" s="45">
        <f>data[[#This Row],[Cost Per Unit]]*data[[#This Row],[Units]]</f>
        <v>2556.12</v>
      </c>
    </row>
    <row r="143" spans="3:9" x14ac:dyDescent="0.25">
      <c r="C143" t="s">
        <v>9</v>
      </c>
      <c r="D143" t="s">
        <v>37</v>
      </c>
      <c r="E143" t="s">
        <v>4</v>
      </c>
      <c r="F143" s="2">
        <v>259</v>
      </c>
      <c r="G143" s="3">
        <v>207</v>
      </c>
      <c r="H143" s="45">
        <f>VLOOKUP(data[[#This Row],[Product]],products[],2,FALSE)</f>
        <v>11.88</v>
      </c>
      <c r="I143" s="45">
        <f>data[[#This Row],[Cost Per Unit]]*data[[#This Row],[Units]]</f>
        <v>2459.1600000000003</v>
      </c>
    </row>
    <row r="144" spans="3:9" x14ac:dyDescent="0.25">
      <c r="C144" t="s">
        <v>8</v>
      </c>
      <c r="D144" t="s">
        <v>37</v>
      </c>
      <c r="E144" t="s">
        <v>30</v>
      </c>
      <c r="F144" s="2">
        <v>42</v>
      </c>
      <c r="G144" s="3">
        <v>150</v>
      </c>
      <c r="H144" s="45">
        <f>VLOOKUP(data[[#This Row],[Product]],products[],2,FALSE)</f>
        <v>14.49</v>
      </c>
      <c r="I144" s="45">
        <f>data[[#This Row],[Cost Per Unit]]*data[[#This Row],[Units]]</f>
        <v>2173.5</v>
      </c>
    </row>
    <row r="145" spans="3:9" x14ac:dyDescent="0.25">
      <c r="C145" t="s">
        <v>41</v>
      </c>
      <c r="D145" t="s">
        <v>36</v>
      </c>
      <c r="E145" t="s">
        <v>26</v>
      </c>
      <c r="F145" s="2">
        <v>98</v>
      </c>
      <c r="G145" s="3">
        <v>204</v>
      </c>
      <c r="H145" s="45">
        <f>VLOOKUP(data[[#This Row],[Product]],products[],2,FALSE)</f>
        <v>5.6</v>
      </c>
      <c r="I145" s="45">
        <f>data[[#This Row],[Cost Per Unit]]*data[[#This Row],[Units]]</f>
        <v>1142.3999999999999</v>
      </c>
    </row>
    <row r="146" spans="3:9" x14ac:dyDescent="0.25">
      <c r="C146" t="s">
        <v>7</v>
      </c>
      <c r="D146" t="s">
        <v>35</v>
      </c>
      <c r="E146" t="s">
        <v>27</v>
      </c>
      <c r="F146" s="2">
        <v>2478</v>
      </c>
      <c r="G146" s="3">
        <v>21</v>
      </c>
      <c r="H146" s="45">
        <f>VLOOKUP(data[[#This Row],[Product]],products[],2,FALSE)</f>
        <v>16.73</v>
      </c>
      <c r="I146" s="45">
        <f>data[[#This Row],[Cost Per Unit]]*data[[#This Row],[Units]]</f>
        <v>351.33</v>
      </c>
    </row>
    <row r="147" spans="3:9" x14ac:dyDescent="0.25">
      <c r="C147" t="s">
        <v>41</v>
      </c>
      <c r="D147" t="s">
        <v>34</v>
      </c>
      <c r="E147" t="s">
        <v>33</v>
      </c>
      <c r="F147" s="2">
        <v>7847</v>
      </c>
      <c r="G147" s="3">
        <v>174</v>
      </c>
      <c r="H147" s="45">
        <f>VLOOKUP(data[[#This Row],[Product]],products[],2,FALSE)</f>
        <v>12.37</v>
      </c>
      <c r="I147" s="45">
        <f>data[[#This Row],[Cost Per Unit]]*data[[#This Row],[Units]]</f>
        <v>2152.3799999999997</v>
      </c>
    </row>
    <row r="148" spans="3:9" x14ac:dyDescent="0.25">
      <c r="C148" t="s">
        <v>2</v>
      </c>
      <c r="D148" t="s">
        <v>37</v>
      </c>
      <c r="E148" t="s">
        <v>17</v>
      </c>
      <c r="F148" s="2">
        <v>9926</v>
      </c>
      <c r="G148" s="3">
        <v>201</v>
      </c>
      <c r="H148" s="45">
        <f>VLOOKUP(data[[#This Row],[Product]],products[],2,FALSE)</f>
        <v>3.11</v>
      </c>
      <c r="I148" s="45">
        <f>data[[#This Row],[Cost Per Unit]]*data[[#This Row],[Units]]</f>
        <v>625.11</v>
      </c>
    </row>
    <row r="149" spans="3:9" x14ac:dyDescent="0.25">
      <c r="C149" t="s">
        <v>8</v>
      </c>
      <c r="D149" t="s">
        <v>38</v>
      </c>
      <c r="E149" t="s">
        <v>13</v>
      </c>
      <c r="F149" s="2">
        <v>819</v>
      </c>
      <c r="G149" s="3">
        <v>510</v>
      </c>
      <c r="H149" s="45">
        <f>VLOOKUP(data[[#This Row],[Product]],products[],2,FALSE)</f>
        <v>9.33</v>
      </c>
      <c r="I149" s="45">
        <f>data[[#This Row],[Cost Per Unit]]*data[[#This Row],[Units]]</f>
        <v>4758.3</v>
      </c>
    </row>
    <row r="150" spans="3:9" x14ac:dyDescent="0.25">
      <c r="C150" t="s">
        <v>6</v>
      </c>
      <c r="D150" t="s">
        <v>39</v>
      </c>
      <c r="E150" t="s">
        <v>29</v>
      </c>
      <c r="F150" s="2">
        <v>3052</v>
      </c>
      <c r="G150" s="3">
        <v>378</v>
      </c>
      <c r="H150" s="45">
        <f>VLOOKUP(data[[#This Row],[Product]],products[],2,FALSE)</f>
        <v>7.16</v>
      </c>
      <c r="I150" s="45">
        <f>data[[#This Row],[Cost Per Unit]]*data[[#This Row],[Units]]</f>
        <v>2706.48</v>
      </c>
    </row>
    <row r="151" spans="3:9" x14ac:dyDescent="0.25">
      <c r="C151" t="s">
        <v>9</v>
      </c>
      <c r="D151" t="s">
        <v>34</v>
      </c>
      <c r="E151" t="s">
        <v>21</v>
      </c>
      <c r="F151" s="2">
        <v>6832</v>
      </c>
      <c r="G151" s="3">
        <v>27</v>
      </c>
      <c r="H151" s="45">
        <f>VLOOKUP(data[[#This Row],[Product]],products[],2,FALSE)</f>
        <v>9</v>
      </c>
      <c r="I151" s="45">
        <f>data[[#This Row],[Cost Per Unit]]*data[[#This Row],[Units]]</f>
        <v>243</v>
      </c>
    </row>
    <row r="152" spans="3:9" x14ac:dyDescent="0.25">
      <c r="C152" t="s">
        <v>2</v>
      </c>
      <c r="D152" t="s">
        <v>39</v>
      </c>
      <c r="E152" t="s">
        <v>16</v>
      </c>
      <c r="F152" s="2">
        <v>2016</v>
      </c>
      <c r="G152" s="3">
        <v>117</v>
      </c>
      <c r="H152" s="45">
        <f>VLOOKUP(data[[#This Row],[Product]],products[],2,FALSE)</f>
        <v>8.7899999999999991</v>
      </c>
      <c r="I152" s="45">
        <f>data[[#This Row],[Cost Per Unit]]*data[[#This Row],[Units]]</f>
        <v>1028.4299999999998</v>
      </c>
    </row>
    <row r="153" spans="3:9" x14ac:dyDescent="0.25">
      <c r="C153" t="s">
        <v>6</v>
      </c>
      <c r="D153" t="s">
        <v>38</v>
      </c>
      <c r="E153" t="s">
        <v>21</v>
      </c>
      <c r="F153" s="2">
        <v>7322</v>
      </c>
      <c r="G153" s="3">
        <v>36</v>
      </c>
      <c r="H153" s="45">
        <f>VLOOKUP(data[[#This Row],[Product]],products[],2,FALSE)</f>
        <v>9</v>
      </c>
      <c r="I153" s="45">
        <f>data[[#This Row],[Cost Per Unit]]*data[[#This Row],[Units]]</f>
        <v>324</v>
      </c>
    </row>
    <row r="154" spans="3:9" x14ac:dyDescent="0.25">
      <c r="C154" t="s">
        <v>8</v>
      </c>
      <c r="D154" t="s">
        <v>35</v>
      </c>
      <c r="E154" t="s">
        <v>33</v>
      </c>
      <c r="F154" s="2">
        <v>357</v>
      </c>
      <c r="G154" s="3">
        <v>126</v>
      </c>
      <c r="H154" s="45">
        <f>VLOOKUP(data[[#This Row],[Product]],products[],2,FALSE)</f>
        <v>12.37</v>
      </c>
      <c r="I154" s="45">
        <f>data[[#This Row],[Cost Per Unit]]*data[[#This Row],[Units]]</f>
        <v>1558.62</v>
      </c>
    </row>
    <row r="155" spans="3:9" x14ac:dyDescent="0.25">
      <c r="C155" t="s">
        <v>9</v>
      </c>
      <c r="D155" t="s">
        <v>39</v>
      </c>
      <c r="E155" t="s">
        <v>25</v>
      </c>
      <c r="F155" s="2">
        <v>3192</v>
      </c>
      <c r="G155" s="3">
        <v>72</v>
      </c>
      <c r="H155" s="45">
        <f>VLOOKUP(data[[#This Row],[Product]],products[],2,FALSE)</f>
        <v>13.15</v>
      </c>
      <c r="I155" s="45">
        <f>data[[#This Row],[Cost Per Unit]]*data[[#This Row],[Units]]</f>
        <v>946.80000000000007</v>
      </c>
    </row>
    <row r="156" spans="3:9" x14ac:dyDescent="0.25">
      <c r="C156" t="s">
        <v>7</v>
      </c>
      <c r="D156" t="s">
        <v>36</v>
      </c>
      <c r="E156" t="s">
        <v>22</v>
      </c>
      <c r="F156" s="2">
        <v>8435</v>
      </c>
      <c r="G156" s="3">
        <v>42</v>
      </c>
      <c r="H156" s="45">
        <f>VLOOKUP(data[[#This Row],[Product]],products[],2,FALSE)</f>
        <v>9.77</v>
      </c>
      <c r="I156" s="45">
        <f>data[[#This Row],[Cost Per Unit]]*data[[#This Row],[Units]]</f>
        <v>410.34</v>
      </c>
    </row>
    <row r="157" spans="3:9" x14ac:dyDescent="0.25">
      <c r="C157" t="s">
        <v>40</v>
      </c>
      <c r="D157" t="s">
        <v>39</v>
      </c>
      <c r="E157" t="s">
        <v>29</v>
      </c>
      <c r="F157" s="2">
        <v>0</v>
      </c>
      <c r="G157" s="3">
        <v>135</v>
      </c>
      <c r="H157" s="45">
        <f>VLOOKUP(data[[#This Row],[Product]],products[],2,FALSE)</f>
        <v>7.16</v>
      </c>
      <c r="I157" s="45">
        <f>data[[#This Row],[Cost Per Unit]]*data[[#This Row],[Units]]</f>
        <v>966.6</v>
      </c>
    </row>
    <row r="158" spans="3:9" x14ac:dyDescent="0.25">
      <c r="C158" t="s">
        <v>7</v>
      </c>
      <c r="D158" t="s">
        <v>34</v>
      </c>
      <c r="E158" t="s">
        <v>24</v>
      </c>
      <c r="F158" s="2">
        <v>8862</v>
      </c>
      <c r="G158" s="3">
        <v>189</v>
      </c>
      <c r="H158" s="45">
        <f>VLOOKUP(data[[#This Row],[Product]],products[],2,FALSE)</f>
        <v>4.97</v>
      </c>
      <c r="I158" s="45">
        <f>data[[#This Row],[Cost Per Unit]]*data[[#This Row],[Units]]</f>
        <v>939.32999999999993</v>
      </c>
    </row>
    <row r="159" spans="3:9" x14ac:dyDescent="0.25">
      <c r="C159" t="s">
        <v>6</v>
      </c>
      <c r="D159" t="s">
        <v>37</v>
      </c>
      <c r="E159" t="s">
        <v>28</v>
      </c>
      <c r="F159" s="2">
        <v>3556</v>
      </c>
      <c r="G159" s="3">
        <v>459</v>
      </c>
      <c r="H159" s="45">
        <f>VLOOKUP(data[[#This Row],[Product]],products[],2,FALSE)</f>
        <v>10.38</v>
      </c>
      <c r="I159" s="45">
        <f>data[[#This Row],[Cost Per Unit]]*data[[#This Row],[Units]]</f>
        <v>4764.42</v>
      </c>
    </row>
    <row r="160" spans="3:9" x14ac:dyDescent="0.25">
      <c r="C160" t="s">
        <v>5</v>
      </c>
      <c r="D160" t="s">
        <v>34</v>
      </c>
      <c r="E160" t="s">
        <v>15</v>
      </c>
      <c r="F160" s="2">
        <v>7280</v>
      </c>
      <c r="G160" s="3">
        <v>201</v>
      </c>
      <c r="H160" s="45">
        <f>VLOOKUP(data[[#This Row],[Product]],products[],2,FALSE)</f>
        <v>11.73</v>
      </c>
      <c r="I160" s="45">
        <f>data[[#This Row],[Cost Per Unit]]*data[[#This Row],[Units]]</f>
        <v>2357.73</v>
      </c>
    </row>
    <row r="161" spans="3:9" x14ac:dyDescent="0.25">
      <c r="C161" t="s">
        <v>6</v>
      </c>
      <c r="D161" t="s">
        <v>34</v>
      </c>
      <c r="E161" t="s">
        <v>30</v>
      </c>
      <c r="F161" s="2">
        <v>3402</v>
      </c>
      <c r="G161" s="3">
        <v>366</v>
      </c>
      <c r="H161" s="45">
        <f>VLOOKUP(data[[#This Row],[Product]],products[],2,FALSE)</f>
        <v>14.49</v>
      </c>
      <c r="I161" s="45">
        <f>data[[#This Row],[Cost Per Unit]]*data[[#This Row],[Units]]</f>
        <v>5303.34</v>
      </c>
    </row>
    <row r="162" spans="3:9" x14ac:dyDescent="0.25">
      <c r="C162" t="s">
        <v>3</v>
      </c>
      <c r="D162" t="s">
        <v>37</v>
      </c>
      <c r="E162" t="s">
        <v>29</v>
      </c>
      <c r="F162" s="2">
        <v>4592</v>
      </c>
      <c r="G162" s="3">
        <v>324</v>
      </c>
      <c r="H162" s="45">
        <f>VLOOKUP(data[[#This Row],[Product]],products[],2,FALSE)</f>
        <v>7.16</v>
      </c>
      <c r="I162" s="45">
        <f>data[[#This Row],[Cost Per Unit]]*data[[#This Row],[Units]]</f>
        <v>2319.84</v>
      </c>
    </row>
    <row r="163" spans="3:9" x14ac:dyDescent="0.25">
      <c r="C163" t="s">
        <v>9</v>
      </c>
      <c r="D163" t="s">
        <v>35</v>
      </c>
      <c r="E163" t="s">
        <v>15</v>
      </c>
      <c r="F163" s="2">
        <v>7833</v>
      </c>
      <c r="G163" s="3">
        <v>243</v>
      </c>
      <c r="H163" s="45">
        <f>VLOOKUP(data[[#This Row],[Product]],products[],2,FALSE)</f>
        <v>11.73</v>
      </c>
      <c r="I163" s="45">
        <f>data[[#This Row],[Cost Per Unit]]*data[[#This Row],[Units]]</f>
        <v>2850.3900000000003</v>
      </c>
    </row>
    <row r="164" spans="3:9" x14ac:dyDescent="0.25">
      <c r="C164" t="s">
        <v>2</v>
      </c>
      <c r="D164" t="s">
        <v>39</v>
      </c>
      <c r="E164" t="s">
        <v>21</v>
      </c>
      <c r="F164" s="2">
        <v>7651</v>
      </c>
      <c r="G164" s="3">
        <v>213</v>
      </c>
      <c r="H164" s="45">
        <f>VLOOKUP(data[[#This Row],[Product]],products[],2,FALSE)</f>
        <v>9</v>
      </c>
      <c r="I164" s="45">
        <f>data[[#This Row],[Cost Per Unit]]*data[[#This Row],[Units]]</f>
        <v>1917</v>
      </c>
    </row>
    <row r="165" spans="3:9" x14ac:dyDescent="0.25">
      <c r="C165" t="s">
        <v>40</v>
      </c>
      <c r="D165" t="s">
        <v>35</v>
      </c>
      <c r="E165" t="s">
        <v>30</v>
      </c>
      <c r="F165" s="2">
        <v>2275</v>
      </c>
      <c r="G165" s="3">
        <v>447</v>
      </c>
      <c r="H165" s="45">
        <f>VLOOKUP(data[[#This Row],[Product]],products[],2,FALSE)</f>
        <v>14.49</v>
      </c>
      <c r="I165" s="45">
        <f>data[[#This Row],[Cost Per Unit]]*data[[#This Row],[Units]]</f>
        <v>6477.03</v>
      </c>
    </row>
    <row r="166" spans="3:9" x14ac:dyDescent="0.25">
      <c r="C166" t="s">
        <v>40</v>
      </c>
      <c r="D166" t="s">
        <v>38</v>
      </c>
      <c r="E166" t="s">
        <v>13</v>
      </c>
      <c r="F166" s="2">
        <v>5670</v>
      </c>
      <c r="G166" s="3">
        <v>297</v>
      </c>
      <c r="H166" s="45">
        <f>VLOOKUP(data[[#This Row],[Product]],products[],2,FALSE)</f>
        <v>9.33</v>
      </c>
      <c r="I166" s="45">
        <f>data[[#This Row],[Cost Per Unit]]*data[[#This Row],[Units]]</f>
        <v>2771.01</v>
      </c>
    </row>
    <row r="167" spans="3:9" x14ac:dyDescent="0.25">
      <c r="C167" t="s">
        <v>7</v>
      </c>
      <c r="D167" t="s">
        <v>35</v>
      </c>
      <c r="E167" t="s">
        <v>16</v>
      </c>
      <c r="F167" s="2">
        <v>2135</v>
      </c>
      <c r="G167" s="3">
        <v>27</v>
      </c>
      <c r="H167" s="45">
        <f>VLOOKUP(data[[#This Row],[Product]],products[],2,FALSE)</f>
        <v>8.7899999999999991</v>
      </c>
      <c r="I167" s="45">
        <f>data[[#This Row],[Cost Per Unit]]*data[[#This Row],[Units]]</f>
        <v>237.32999999999998</v>
      </c>
    </row>
    <row r="168" spans="3:9" x14ac:dyDescent="0.25">
      <c r="C168" t="s">
        <v>40</v>
      </c>
      <c r="D168" t="s">
        <v>34</v>
      </c>
      <c r="E168" t="s">
        <v>23</v>
      </c>
      <c r="F168" s="2">
        <v>2779</v>
      </c>
      <c r="G168" s="3">
        <v>75</v>
      </c>
      <c r="H168" s="45">
        <f>VLOOKUP(data[[#This Row],[Product]],products[],2,FALSE)</f>
        <v>6.49</v>
      </c>
      <c r="I168" s="45">
        <f>data[[#This Row],[Cost Per Unit]]*data[[#This Row],[Units]]</f>
        <v>486.75</v>
      </c>
    </row>
    <row r="169" spans="3:9" x14ac:dyDescent="0.25">
      <c r="C169" t="s">
        <v>10</v>
      </c>
      <c r="D169" t="s">
        <v>39</v>
      </c>
      <c r="E169" t="s">
        <v>33</v>
      </c>
      <c r="F169" s="2">
        <v>12950</v>
      </c>
      <c r="G169" s="3">
        <v>30</v>
      </c>
      <c r="H169" s="45">
        <f>VLOOKUP(data[[#This Row],[Product]],products[],2,FALSE)</f>
        <v>12.37</v>
      </c>
      <c r="I169" s="45">
        <f>data[[#This Row],[Cost Per Unit]]*data[[#This Row],[Units]]</f>
        <v>371.09999999999997</v>
      </c>
    </row>
    <row r="170" spans="3:9" x14ac:dyDescent="0.25">
      <c r="C170" t="s">
        <v>7</v>
      </c>
      <c r="D170" t="s">
        <v>36</v>
      </c>
      <c r="E170" t="s">
        <v>18</v>
      </c>
      <c r="F170" s="2">
        <v>2646</v>
      </c>
      <c r="G170" s="3">
        <v>177</v>
      </c>
      <c r="H170" s="45">
        <f>VLOOKUP(data[[#This Row],[Product]],products[],2,FALSE)</f>
        <v>6.47</v>
      </c>
      <c r="I170" s="45">
        <f>data[[#This Row],[Cost Per Unit]]*data[[#This Row],[Units]]</f>
        <v>1145.19</v>
      </c>
    </row>
    <row r="171" spans="3:9" x14ac:dyDescent="0.25">
      <c r="C171" t="s">
        <v>40</v>
      </c>
      <c r="D171" t="s">
        <v>34</v>
      </c>
      <c r="E171" t="s">
        <v>33</v>
      </c>
      <c r="F171" s="2">
        <v>3794</v>
      </c>
      <c r="G171" s="3">
        <v>159</v>
      </c>
      <c r="H171" s="45">
        <f>VLOOKUP(data[[#This Row],[Product]],products[],2,FALSE)</f>
        <v>12.37</v>
      </c>
      <c r="I171" s="45">
        <f>data[[#This Row],[Cost Per Unit]]*data[[#This Row],[Units]]</f>
        <v>1966.83</v>
      </c>
    </row>
    <row r="172" spans="3:9" x14ac:dyDescent="0.25">
      <c r="C172" t="s">
        <v>3</v>
      </c>
      <c r="D172" t="s">
        <v>35</v>
      </c>
      <c r="E172" t="s">
        <v>33</v>
      </c>
      <c r="F172" s="2">
        <v>819</v>
      </c>
      <c r="G172" s="3">
        <v>306</v>
      </c>
      <c r="H172" s="45">
        <f>VLOOKUP(data[[#This Row],[Product]],products[],2,FALSE)</f>
        <v>12.37</v>
      </c>
      <c r="I172" s="45">
        <f>data[[#This Row],[Cost Per Unit]]*data[[#This Row],[Units]]</f>
        <v>3785.22</v>
      </c>
    </row>
    <row r="173" spans="3:9" x14ac:dyDescent="0.25">
      <c r="C173" t="s">
        <v>3</v>
      </c>
      <c r="D173" t="s">
        <v>34</v>
      </c>
      <c r="E173" t="s">
        <v>20</v>
      </c>
      <c r="F173" s="2">
        <v>2583</v>
      </c>
      <c r="G173" s="3">
        <v>18</v>
      </c>
      <c r="H173" s="45">
        <f>VLOOKUP(data[[#This Row],[Product]],products[],2,FALSE)</f>
        <v>10.62</v>
      </c>
      <c r="I173" s="45">
        <f>data[[#This Row],[Cost Per Unit]]*data[[#This Row],[Units]]</f>
        <v>191.16</v>
      </c>
    </row>
    <row r="174" spans="3:9" x14ac:dyDescent="0.25">
      <c r="C174" t="s">
        <v>7</v>
      </c>
      <c r="D174" t="s">
        <v>35</v>
      </c>
      <c r="E174" t="s">
        <v>19</v>
      </c>
      <c r="F174" s="2">
        <v>4585</v>
      </c>
      <c r="G174" s="3">
        <v>240</v>
      </c>
      <c r="H174" s="45">
        <f>VLOOKUP(data[[#This Row],[Product]],products[],2,FALSE)</f>
        <v>7.64</v>
      </c>
      <c r="I174" s="45">
        <f>data[[#This Row],[Cost Per Unit]]*data[[#This Row],[Units]]</f>
        <v>1833.6</v>
      </c>
    </row>
    <row r="175" spans="3:9" x14ac:dyDescent="0.25">
      <c r="C175" t="s">
        <v>5</v>
      </c>
      <c r="D175" t="s">
        <v>34</v>
      </c>
      <c r="E175" t="s">
        <v>33</v>
      </c>
      <c r="F175" s="2">
        <v>1652</v>
      </c>
      <c r="G175" s="3">
        <v>93</v>
      </c>
      <c r="H175" s="45">
        <f>VLOOKUP(data[[#This Row],[Product]],products[],2,FALSE)</f>
        <v>12.37</v>
      </c>
      <c r="I175" s="45">
        <f>data[[#This Row],[Cost Per Unit]]*data[[#This Row],[Units]]</f>
        <v>1150.4099999999999</v>
      </c>
    </row>
    <row r="176" spans="3:9" x14ac:dyDescent="0.25">
      <c r="C176" t="s">
        <v>10</v>
      </c>
      <c r="D176" t="s">
        <v>34</v>
      </c>
      <c r="E176" t="s">
        <v>26</v>
      </c>
      <c r="F176" s="2">
        <v>4991</v>
      </c>
      <c r="G176" s="3">
        <v>9</v>
      </c>
      <c r="H176" s="45">
        <f>VLOOKUP(data[[#This Row],[Product]],products[],2,FALSE)</f>
        <v>5.6</v>
      </c>
      <c r="I176" s="45">
        <f>data[[#This Row],[Cost Per Unit]]*data[[#This Row],[Units]]</f>
        <v>50.4</v>
      </c>
    </row>
    <row r="177" spans="3:9" x14ac:dyDescent="0.25">
      <c r="C177" t="s">
        <v>8</v>
      </c>
      <c r="D177" t="s">
        <v>34</v>
      </c>
      <c r="E177" t="s">
        <v>16</v>
      </c>
      <c r="F177" s="2">
        <v>2009</v>
      </c>
      <c r="G177" s="3">
        <v>219</v>
      </c>
      <c r="H177" s="45">
        <f>VLOOKUP(data[[#This Row],[Product]],products[],2,FALSE)</f>
        <v>8.7899999999999991</v>
      </c>
      <c r="I177" s="45">
        <f>data[[#This Row],[Cost Per Unit]]*data[[#This Row],[Units]]</f>
        <v>1925.0099999999998</v>
      </c>
    </row>
    <row r="178" spans="3:9" x14ac:dyDescent="0.25">
      <c r="C178" t="s">
        <v>2</v>
      </c>
      <c r="D178" t="s">
        <v>39</v>
      </c>
      <c r="E178" t="s">
        <v>22</v>
      </c>
      <c r="F178" s="2">
        <v>1568</v>
      </c>
      <c r="G178" s="3">
        <v>141</v>
      </c>
      <c r="H178" s="45">
        <f>VLOOKUP(data[[#This Row],[Product]],products[],2,FALSE)</f>
        <v>9.77</v>
      </c>
      <c r="I178" s="45">
        <f>data[[#This Row],[Cost Per Unit]]*data[[#This Row],[Units]]</f>
        <v>1377.57</v>
      </c>
    </row>
    <row r="179" spans="3:9" x14ac:dyDescent="0.25">
      <c r="C179" t="s">
        <v>41</v>
      </c>
      <c r="D179" t="s">
        <v>37</v>
      </c>
      <c r="E179" t="s">
        <v>20</v>
      </c>
      <c r="F179" s="2">
        <v>3388</v>
      </c>
      <c r="G179" s="3">
        <v>123</v>
      </c>
      <c r="H179" s="45">
        <f>VLOOKUP(data[[#This Row],[Product]],products[],2,FALSE)</f>
        <v>10.62</v>
      </c>
      <c r="I179" s="45">
        <f>data[[#This Row],[Cost Per Unit]]*data[[#This Row],[Units]]</f>
        <v>1306.26</v>
      </c>
    </row>
    <row r="180" spans="3:9" x14ac:dyDescent="0.25">
      <c r="C180" t="s">
        <v>40</v>
      </c>
      <c r="D180" t="s">
        <v>38</v>
      </c>
      <c r="E180" t="s">
        <v>24</v>
      </c>
      <c r="F180" s="2">
        <v>623</v>
      </c>
      <c r="G180" s="3">
        <v>51</v>
      </c>
      <c r="H180" s="45">
        <f>VLOOKUP(data[[#This Row],[Product]],products[],2,FALSE)</f>
        <v>4.97</v>
      </c>
      <c r="I180" s="45">
        <f>data[[#This Row],[Cost Per Unit]]*data[[#This Row],[Units]]</f>
        <v>253.47</v>
      </c>
    </row>
    <row r="181" spans="3:9" x14ac:dyDescent="0.25">
      <c r="C181" t="s">
        <v>6</v>
      </c>
      <c r="D181" t="s">
        <v>36</v>
      </c>
      <c r="E181" t="s">
        <v>4</v>
      </c>
      <c r="F181" s="2">
        <v>10073</v>
      </c>
      <c r="G181" s="3">
        <v>120</v>
      </c>
      <c r="H181" s="45">
        <f>VLOOKUP(data[[#This Row],[Product]],products[],2,FALSE)</f>
        <v>11.88</v>
      </c>
      <c r="I181" s="45">
        <f>data[[#This Row],[Cost Per Unit]]*data[[#This Row],[Units]]</f>
        <v>1425.6000000000001</v>
      </c>
    </row>
    <row r="182" spans="3:9" x14ac:dyDescent="0.25">
      <c r="C182" t="s">
        <v>8</v>
      </c>
      <c r="D182" t="s">
        <v>39</v>
      </c>
      <c r="E182" t="s">
        <v>26</v>
      </c>
      <c r="F182" s="2">
        <v>1561</v>
      </c>
      <c r="G182" s="3">
        <v>27</v>
      </c>
      <c r="H182" s="45">
        <f>VLOOKUP(data[[#This Row],[Product]],products[],2,FALSE)</f>
        <v>5.6</v>
      </c>
      <c r="I182" s="45">
        <f>data[[#This Row],[Cost Per Unit]]*data[[#This Row],[Units]]</f>
        <v>151.19999999999999</v>
      </c>
    </row>
    <row r="183" spans="3:9" x14ac:dyDescent="0.25">
      <c r="C183" t="s">
        <v>9</v>
      </c>
      <c r="D183" t="s">
        <v>36</v>
      </c>
      <c r="E183" t="s">
        <v>27</v>
      </c>
      <c r="F183" s="2">
        <v>11522</v>
      </c>
      <c r="G183" s="3">
        <v>204</v>
      </c>
      <c r="H183" s="45">
        <f>VLOOKUP(data[[#This Row],[Product]],products[],2,FALSE)</f>
        <v>16.73</v>
      </c>
      <c r="I183" s="45">
        <f>data[[#This Row],[Cost Per Unit]]*data[[#This Row],[Units]]</f>
        <v>3412.92</v>
      </c>
    </row>
    <row r="184" spans="3:9" x14ac:dyDescent="0.25">
      <c r="C184" t="s">
        <v>6</v>
      </c>
      <c r="D184" t="s">
        <v>38</v>
      </c>
      <c r="E184" t="s">
        <v>13</v>
      </c>
      <c r="F184" s="2">
        <v>2317</v>
      </c>
      <c r="G184" s="3">
        <v>123</v>
      </c>
      <c r="H184" s="45">
        <f>VLOOKUP(data[[#This Row],[Product]],products[],2,FALSE)</f>
        <v>9.33</v>
      </c>
      <c r="I184" s="45">
        <f>data[[#This Row],[Cost Per Unit]]*data[[#This Row],[Units]]</f>
        <v>1147.5899999999999</v>
      </c>
    </row>
    <row r="185" spans="3:9" x14ac:dyDescent="0.25">
      <c r="C185" t="s">
        <v>10</v>
      </c>
      <c r="D185" t="s">
        <v>37</v>
      </c>
      <c r="E185" t="s">
        <v>28</v>
      </c>
      <c r="F185" s="2">
        <v>3059</v>
      </c>
      <c r="G185" s="3">
        <v>27</v>
      </c>
      <c r="H185" s="45">
        <f>VLOOKUP(data[[#This Row],[Product]],products[],2,FALSE)</f>
        <v>10.38</v>
      </c>
      <c r="I185" s="45">
        <f>data[[#This Row],[Cost Per Unit]]*data[[#This Row],[Units]]</f>
        <v>280.26000000000005</v>
      </c>
    </row>
    <row r="186" spans="3:9" x14ac:dyDescent="0.25">
      <c r="C186" t="s">
        <v>41</v>
      </c>
      <c r="D186" t="s">
        <v>37</v>
      </c>
      <c r="E186" t="s">
        <v>26</v>
      </c>
      <c r="F186" s="2">
        <v>2324</v>
      </c>
      <c r="G186" s="3">
        <v>177</v>
      </c>
      <c r="H186" s="45">
        <f>VLOOKUP(data[[#This Row],[Product]],products[],2,FALSE)</f>
        <v>5.6</v>
      </c>
      <c r="I186" s="45">
        <f>data[[#This Row],[Cost Per Unit]]*data[[#This Row],[Units]]</f>
        <v>991.19999999999993</v>
      </c>
    </row>
    <row r="187" spans="3:9" x14ac:dyDescent="0.25">
      <c r="C187" t="s">
        <v>3</v>
      </c>
      <c r="D187" t="s">
        <v>39</v>
      </c>
      <c r="E187" t="s">
        <v>26</v>
      </c>
      <c r="F187" s="2">
        <v>4956</v>
      </c>
      <c r="G187" s="3">
        <v>171</v>
      </c>
      <c r="H187" s="45">
        <f>VLOOKUP(data[[#This Row],[Product]],products[],2,FALSE)</f>
        <v>5.6</v>
      </c>
      <c r="I187" s="45">
        <f>data[[#This Row],[Cost Per Unit]]*data[[#This Row],[Units]]</f>
        <v>957.59999999999991</v>
      </c>
    </row>
    <row r="188" spans="3:9" x14ac:dyDescent="0.25">
      <c r="C188" t="s">
        <v>10</v>
      </c>
      <c r="D188" t="s">
        <v>34</v>
      </c>
      <c r="E188" t="s">
        <v>19</v>
      </c>
      <c r="F188" s="2">
        <v>5355</v>
      </c>
      <c r="G188" s="3">
        <v>204</v>
      </c>
      <c r="H188" s="45">
        <f>VLOOKUP(data[[#This Row],[Product]],products[],2,FALSE)</f>
        <v>7.64</v>
      </c>
      <c r="I188" s="45">
        <f>data[[#This Row],[Cost Per Unit]]*data[[#This Row],[Units]]</f>
        <v>1558.56</v>
      </c>
    </row>
    <row r="189" spans="3:9" x14ac:dyDescent="0.25">
      <c r="C189" t="s">
        <v>3</v>
      </c>
      <c r="D189" t="s">
        <v>34</v>
      </c>
      <c r="E189" t="s">
        <v>14</v>
      </c>
      <c r="F189" s="2">
        <v>7259</v>
      </c>
      <c r="G189" s="3">
        <v>276</v>
      </c>
      <c r="H189" s="45">
        <f>VLOOKUP(data[[#This Row],[Product]],products[],2,FALSE)</f>
        <v>11.7</v>
      </c>
      <c r="I189" s="45">
        <f>data[[#This Row],[Cost Per Unit]]*data[[#This Row],[Units]]</f>
        <v>3229.2</v>
      </c>
    </row>
    <row r="190" spans="3:9" x14ac:dyDescent="0.25">
      <c r="C190" t="s">
        <v>8</v>
      </c>
      <c r="D190" t="s">
        <v>37</v>
      </c>
      <c r="E190" t="s">
        <v>26</v>
      </c>
      <c r="F190" s="2">
        <v>6279</v>
      </c>
      <c r="G190" s="3">
        <v>45</v>
      </c>
      <c r="H190" s="45">
        <f>VLOOKUP(data[[#This Row],[Product]],products[],2,FALSE)</f>
        <v>5.6</v>
      </c>
      <c r="I190" s="45">
        <f>data[[#This Row],[Cost Per Unit]]*data[[#This Row],[Units]]</f>
        <v>251.99999999999997</v>
      </c>
    </row>
    <row r="191" spans="3:9" x14ac:dyDescent="0.25">
      <c r="C191" t="s">
        <v>40</v>
      </c>
      <c r="D191" t="s">
        <v>38</v>
      </c>
      <c r="E191" t="s">
        <v>29</v>
      </c>
      <c r="F191" s="2">
        <v>2541</v>
      </c>
      <c r="G191" s="3">
        <v>45</v>
      </c>
      <c r="H191" s="45">
        <f>VLOOKUP(data[[#This Row],[Product]],products[],2,FALSE)</f>
        <v>7.16</v>
      </c>
      <c r="I191" s="45">
        <f>data[[#This Row],[Cost Per Unit]]*data[[#This Row],[Units]]</f>
        <v>322.2</v>
      </c>
    </row>
    <row r="192" spans="3:9" x14ac:dyDescent="0.25">
      <c r="C192" t="s">
        <v>6</v>
      </c>
      <c r="D192" t="s">
        <v>35</v>
      </c>
      <c r="E192" t="s">
        <v>27</v>
      </c>
      <c r="F192" s="2">
        <v>3864</v>
      </c>
      <c r="G192" s="3">
        <v>177</v>
      </c>
      <c r="H192" s="45">
        <f>VLOOKUP(data[[#This Row],[Product]],products[],2,FALSE)</f>
        <v>16.73</v>
      </c>
      <c r="I192" s="45">
        <f>data[[#This Row],[Cost Per Unit]]*data[[#This Row],[Units]]</f>
        <v>2961.21</v>
      </c>
    </row>
    <row r="193" spans="3:9" x14ac:dyDescent="0.25">
      <c r="C193" t="s">
        <v>5</v>
      </c>
      <c r="D193" t="s">
        <v>36</v>
      </c>
      <c r="E193" t="s">
        <v>13</v>
      </c>
      <c r="F193" s="2">
        <v>6146</v>
      </c>
      <c r="G193" s="3">
        <v>63</v>
      </c>
      <c r="H193" s="45">
        <f>VLOOKUP(data[[#This Row],[Product]],products[],2,FALSE)</f>
        <v>9.33</v>
      </c>
      <c r="I193" s="45">
        <f>data[[#This Row],[Cost Per Unit]]*data[[#This Row],[Units]]</f>
        <v>587.79</v>
      </c>
    </row>
    <row r="194" spans="3:9" x14ac:dyDescent="0.25">
      <c r="C194" t="s">
        <v>9</v>
      </c>
      <c r="D194" t="s">
        <v>39</v>
      </c>
      <c r="E194" t="s">
        <v>18</v>
      </c>
      <c r="F194" s="2">
        <v>2639</v>
      </c>
      <c r="G194" s="3">
        <v>204</v>
      </c>
      <c r="H194" s="45">
        <f>VLOOKUP(data[[#This Row],[Product]],products[],2,FALSE)</f>
        <v>6.47</v>
      </c>
      <c r="I194" s="45">
        <f>data[[#This Row],[Cost Per Unit]]*data[[#This Row],[Units]]</f>
        <v>1319.8799999999999</v>
      </c>
    </row>
    <row r="195" spans="3:9" x14ac:dyDescent="0.25">
      <c r="C195" t="s">
        <v>8</v>
      </c>
      <c r="D195" t="s">
        <v>37</v>
      </c>
      <c r="E195" t="s">
        <v>22</v>
      </c>
      <c r="F195" s="2">
        <v>1890</v>
      </c>
      <c r="G195" s="3">
        <v>195</v>
      </c>
      <c r="H195" s="45">
        <f>VLOOKUP(data[[#This Row],[Product]],products[],2,FALSE)</f>
        <v>9.77</v>
      </c>
      <c r="I195" s="45">
        <f>data[[#This Row],[Cost Per Unit]]*data[[#This Row],[Units]]</f>
        <v>1905.1499999999999</v>
      </c>
    </row>
    <row r="196" spans="3:9" x14ac:dyDescent="0.25">
      <c r="C196" t="s">
        <v>7</v>
      </c>
      <c r="D196" t="s">
        <v>34</v>
      </c>
      <c r="E196" t="s">
        <v>14</v>
      </c>
      <c r="F196" s="2">
        <v>1932</v>
      </c>
      <c r="G196" s="3">
        <v>369</v>
      </c>
      <c r="H196" s="45">
        <f>VLOOKUP(data[[#This Row],[Product]],products[],2,FALSE)</f>
        <v>11.7</v>
      </c>
      <c r="I196" s="45">
        <f>data[[#This Row],[Cost Per Unit]]*data[[#This Row],[Units]]</f>
        <v>4317.3</v>
      </c>
    </row>
    <row r="197" spans="3:9" x14ac:dyDescent="0.25">
      <c r="C197" t="s">
        <v>3</v>
      </c>
      <c r="D197" t="s">
        <v>34</v>
      </c>
      <c r="E197" t="s">
        <v>25</v>
      </c>
      <c r="F197" s="2">
        <v>6300</v>
      </c>
      <c r="G197" s="3">
        <v>42</v>
      </c>
      <c r="H197" s="45">
        <f>VLOOKUP(data[[#This Row],[Product]],products[],2,FALSE)</f>
        <v>13.15</v>
      </c>
      <c r="I197" s="45">
        <f>data[[#This Row],[Cost Per Unit]]*data[[#This Row],[Units]]</f>
        <v>552.30000000000007</v>
      </c>
    </row>
    <row r="198" spans="3:9" x14ac:dyDescent="0.25">
      <c r="C198" t="s">
        <v>6</v>
      </c>
      <c r="D198" t="s">
        <v>37</v>
      </c>
      <c r="E198" t="s">
        <v>30</v>
      </c>
      <c r="F198" s="2">
        <v>560</v>
      </c>
      <c r="G198" s="3">
        <v>81</v>
      </c>
      <c r="H198" s="45">
        <f>VLOOKUP(data[[#This Row],[Product]],products[],2,FALSE)</f>
        <v>14.49</v>
      </c>
      <c r="I198" s="45">
        <f>data[[#This Row],[Cost Per Unit]]*data[[#This Row],[Units]]</f>
        <v>1173.69</v>
      </c>
    </row>
    <row r="199" spans="3:9" x14ac:dyDescent="0.25">
      <c r="C199" t="s">
        <v>9</v>
      </c>
      <c r="D199" t="s">
        <v>37</v>
      </c>
      <c r="E199" t="s">
        <v>26</v>
      </c>
      <c r="F199" s="2">
        <v>2856</v>
      </c>
      <c r="G199" s="3">
        <v>246</v>
      </c>
      <c r="H199" s="45">
        <f>VLOOKUP(data[[#This Row],[Product]],products[],2,FALSE)</f>
        <v>5.6</v>
      </c>
      <c r="I199" s="45">
        <f>data[[#This Row],[Cost Per Unit]]*data[[#This Row],[Units]]</f>
        <v>1377.6</v>
      </c>
    </row>
    <row r="200" spans="3:9" x14ac:dyDescent="0.25">
      <c r="C200" t="s">
        <v>9</v>
      </c>
      <c r="D200" t="s">
        <v>34</v>
      </c>
      <c r="E200" t="s">
        <v>17</v>
      </c>
      <c r="F200" s="2">
        <v>707</v>
      </c>
      <c r="G200" s="3">
        <v>174</v>
      </c>
      <c r="H200" s="45">
        <f>VLOOKUP(data[[#This Row],[Product]],products[],2,FALSE)</f>
        <v>3.11</v>
      </c>
      <c r="I200" s="45">
        <f>data[[#This Row],[Cost Per Unit]]*data[[#This Row],[Units]]</f>
        <v>541.14</v>
      </c>
    </row>
    <row r="201" spans="3:9" x14ac:dyDescent="0.25">
      <c r="C201" t="s">
        <v>8</v>
      </c>
      <c r="D201" t="s">
        <v>35</v>
      </c>
      <c r="E201" t="s">
        <v>30</v>
      </c>
      <c r="F201" s="2">
        <v>3598</v>
      </c>
      <c r="G201" s="3">
        <v>81</v>
      </c>
      <c r="H201" s="45">
        <f>VLOOKUP(data[[#This Row],[Product]],products[],2,FALSE)</f>
        <v>14.49</v>
      </c>
      <c r="I201" s="45">
        <f>data[[#This Row],[Cost Per Unit]]*data[[#This Row],[Units]]</f>
        <v>1173.69</v>
      </c>
    </row>
    <row r="202" spans="3:9" x14ac:dyDescent="0.25">
      <c r="C202" t="s">
        <v>40</v>
      </c>
      <c r="D202" t="s">
        <v>35</v>
      </c>
      <c r="E202" t="s">
        <v>22</v>
      </c>
      <c r="F202" s="2">
        <v>6853</v>
      </c>
      <c r="G202" s="3">
        <v>372</v>
      </c>
      <c r="H202" s="45">
        <f>VLOOKUP(data[[#This Row],[Product]],products[],2,FALSE)</f>
        <v>9.77</v>
      </c>
      <c r="I202" s="45">
        <f>data[[#This Row],[Cost Per Unit]]*data[[#This Row],[Units]]</f>
        <v>3634.44</v>
      </c>
    </row>
    <row r="203" spans="3:9" x14ac:dyDescent="0.25">
      <c r="C203" t="s">
        <v>40</v>
      </c>
      <c r="D203" t="s">
        <v>35</v>
      </c>
      <c r="E203" t="s">
        <v>16</v>
      </c>
      <c r="F203" s="2">
        <v>4725</v>
      </c>
      <c r="G203" s="3">
        <v>174</v>
      </c>
      <c r="H203" s="45">
        <f>VLOOKUP(data[[#This Row],[Product]],products[],2,FALSE)</f>
        <v>8.7899999999999991</v>
      </c>
      <c r="I203" s="45">
        <f>data[[#This Row],[Cost Per Unit]]*data[[#This Row],[Units]]</f>
        <v>1529.4599999999998</v>
      </c>
    </row>
    <row r="204" spans="3:9" x14ac:dyDescent="0.25">
      <c r="C204" t="s">
        <v>41</v>
      </c>
      <c r="D204" t="s">
        <v>36</v>
      </c>
      <c r="E204" t="s">
        <v>32</v>
      </c>
      <c r="F204" s="2">
        <v>10304</v>
      </c>
      <c r="G204" s="3">
        <v>84</v>
      </c>
      <c r="H204" s="45">
        <f>VLOOKUP(data[[#This Row],[Product]],products[],2,FALSE)</f>
        <v>8.65</v>
      </c>
      <c r="I204" s="45">
        <f>data[[#This Row],[Cost Per Unit]]*data[[#This Row],[Units]]</f>
        <v>726.6</v>
      </c>
    </row>
    <row r="205" spans="3:9" x14ac:dyDescent="0.25">
      <c r="C205" t="s">
        <v>41</v>
      </c>
      <c r="D205" t="s">
        <v>34</v>
      </c>
      <c r="E205" t="s">
        <v>16</v>
      </c>
      <c r="F205" s="2">
        <v>1274</v>
      </c>
      <c r="G205" s="3">
        <v>225</v>
      </c>
      <c r="H205" s="45">
        <f>VLOOKUP(data[[#This Row],[Product]],products[],2,FALSE)</f>
        <v>8.7899999999999991</v>
      </c>
      <c r="I205" s="45">
        <f>data[[#This Row],[Cost Per Unit]]*data[[#This Row],[Units]]</f>
        <v>1977.7499999999998</v>
      </c>
    </row>
    <row r="206" spans="3:9" x14ac:dyDescent="0.25">
      <c r="C206" t="s">
        <v>5</v>
      </c>
      <c r="D206" t="s">
        <v>36</v>
      </c>
      <c r="E206" t="s">
        <v>30</v>
      </c>
      <c r="F206" s="2">
        <v>1526</v>
      </c>
      <c r="G206" s="3">
        <v>105</v>
      </c>
      <c r="H206" s="45">
        <f>VLOOKUP(data[[#This Row],[Product]],products[],2,FALSE)</f>
        <v>14.49</v>
      </c>
      <c r="I206" s="45">
        <f>data[[#This Row],[Cost Per Unit]]*data[[#This Row],[Units]]</f>
        <v>1521.45</v>
      </c>
    </row>
    <row r="207" spans="3:9" x14ac:dyDescent="0.25">
      <c r="C207" t="s">
        <v>40</v>
      </c>
      <c r="D207" t="s">
        <v>39</v>
      </c>
      <c r="E207" t="s">
        <v>28</v>
      </c>
      <c r="F207" s="2">
        <v>3101</v>
      </c>
      <c r="G207" s="3">
        <v>225</v>
      </c>
      <c r="H207" s="45">
        <f>VLOOKUP(data[[#This Row],[Product]],products[],2,FALSE)</f>
        <v>10.38</v>
      </c>
      <c r="I207" s="45">
        <f>data[[#This Row],[Cost Per Unit]]*data[[#This Row],[Units]]</f>
        <v>2335.5</v>
      </c>
    </row>
    <row r="208" spans="3:9" x14ac:dyDescent="0.25">
      <c r="C208" t="s">
        <v>2</v>
      </c>
      <c r="D208" t="s">
        <v>37</v>
      </c>
      <c r="E208" t="s">
        <v>14</v>
      </c>
      <c r="F208" s="2">
        <v>1057</v>
      </c>
      <c r="G208" s="3">
        <v>54</v>
      </c>
      <c r="H208" s="45">
        <f>VLOOKUP(data[[#This Row],[Product]],products[],2,FALSE)</f>
        <v>11.7</v>
      </c>
      <c r="I208" s="45">
        <f>data[[#This Row],[Cost Per Unit]]*data[[#This Row],[Units]]</f>
        <v>631.79999999999995</v>
      </c>
    </row>
    <row r="209" spans="3:9" x14ac:dyDescent="0.25">
      <c r="C209" t="s">
        <v>7</v>
      </c>
      <c r="D209" t="s">
        <v>37</v>
      </c>
      <c r="E209" t="s">
        <v>26</v>
      </c>
      <c r="F209" s="2">
        <v>5306</v>
      </c>
      <c r="G209" s="3">
        <v>0</v>
      </c>
      <c r="H209" s="45">
        <f>VLOOKUP(data[[#This Row],[Product]],products[],2,FALSE)</f>
        <v>5.6</v>
      </c>
      <c r="I209" s="45">
        <f>data[[#This Row],[Cost Per Unit]]*data[[#This Row],[Units]]</f>
        <v>0</v>
      </c>
    </row>
    <row r="210" spans="3:9" x14ac:dyDescent="0.25">
      <c r="C210" t="s">
        <v>5</v>
      </c>
      <c r="D210" t="s">
        <v>39</v>
      </c>
      <c r="E210" t="s">
        <v>24</v>
      </c>
      <c r="F210" s="2">
        <v>4018</v>
      </c>
      <c r="G210" s="3">
        <v>171</v>
      </c>
      <c r="H210" s="45">
        <f>VLOOKUP(data[[#This Row],[Product]],products[],2,FALSE)</f>
        <v>4.97</v>
      </c>
      <c r="I210" s="45">
        <f>data[[#This Row],[Cost Per Unit]]*data[[#This Row],[Units]]</f>
        <v>849.87</v>
      </c>
    </row>
    <row r="211" spans="3:9" x14ac:dyDescent="0.25">
      <c r="C211" t="s">
        <v>9</v>
      </c>
      <c r="D211" t="s">
        <v>34</v>
      </c>
      <c r="E211" t="s">
        <v>16</v>
      </c>
      <c r="F211" s="2">
        <v>938</v>
      </c>
      <c r="G211" s="3">
        <v>189</v>
      </c>
      <c r="H211" s="45">
        <f>VLOOKUP(data[[#This Row],[Product]],products[],2,FALSE)</f>
        <v>8.7899999999999991</v>
      </c>
      <c r="I211" s="45">
        <f>data[[#This Row],[Cost Per Unit]]*data[[#This Row],[Units]]</f>
        <v>1661.31</v>
      </c>
    </row>
    <row r="212" spans="3:9" x14ac:dyDescent="0.25">
      <c r="C212" t="s">
        <v>7</v>
      </c>
      <c r="D212" t="s">
        <v>38</v>
      </c>
      <c r="E212" t="s">
        <v>18</v>
      </c>
      <c r="F212" s="2">
        <v>1778</v>
      </c>
      <c r="G212" s="3">
        <v>270</v>
      </c>
      <c r="H212" s="45">
        <f>VLOOKUP(data[[#This Row],[Product]],products[],2,FALSE)</f>
        <v>6.47</v>
      </c>
      <c r="I212" s="45">
        <f>data[[#This Row],[Cost Per Unit]]*data[[#This Row],[Units]]</f>
        <v>1746.8999999999999</v>
      </c>
    </row>
    <row r="213" spans="3:9" x14ac:dyDescent="0.25">
      <c r="C213" t="s">
        <v>6</v>
      </c>
      <c r="D213" t="s">
        <v>39</v>
      </c>
      <c r="E213" t="s">
        <v>30</v>
      </c>
      <c r="F213" s="2">
        <v>1638</v>
      </c>
      <c r="G213" s="3">
        <v>63</v>
      </c>
      <c r="H213" s="45">
        <f>VLOOKUP(data[[#This Row],[Product]],products[],2,FALSE)</f>
        <v>14.49</v>
      </c>
      <c r="I213" s="45">
        <f>data[[#This Row],[Cost Per Unit]]*data[[#This Row],[Units]]</f>
        <v>912.87</v>
      </c>
    </row>
    <row r="214" spans="3:9" x14ac:dyDescent="0.25">
      <c r="C214" t="s">
        <v>41</v>
      </c>
      <c r="D214" t="s">
        <v>38</v>
      </c>
      <c r="E214" t="s">
        <v>25</v>
      </c>
      <c r="F214" s="2">
        <v>154</v>
      </c>
      <c r="G214" s="3">
        <v>21</v>
      </c>
      <c r="H214" s="45">
        <f>VLOOKUP(data[[#This Row],[Product]],products[],2,FALSE)</f>
        <v>13.15</v>
      </c>
      <c r="I214" s="45">
        <f>data[[#This Row],[Cost Per Unit]]*data[[#This Row],[Units]]</f>
        <v>276.15000000000003</v>
      </c>
    </row>
    <row r="215" spans="3:9" x14ac:dyDescent="0.25">
      <c r="C215" t="s">
        <v>7</v>
      </c>
      <c r="D215" t="s">
        <v>37</v>
      </c>
      <c r="E215" t="s">
        <v>22</v>
      </c>
      <c r="F215" s="2">
        <v>9835</v>
      </c>
      <c r="G215" s="3">
        <v>207</v>
      </c>
      <c r="H215" s="45">
        <f>VLOOKUP(data[[#This Row],[Product]],products[],2,FALSE)</f>
        <v>9.77</v>
      </c>
      <c r="I215" s="45">
        <f>data[[#This Row],[Cost Per Unit]]*data[[#This Row],[Units]]</f>
        <v>2022.3899999999999</v>
      </c>
    </row>
    <row r="216" spans="3:9" x14ac:dyDescent="0.25">
      <c r="C216" t="s">
        <v>9</v>
      </c>
      <c r="D216" t="s">
        <v>37</v>
      </c>
      <c r="E216" t="s">
        <v>20</v>
      </c>
      <c r="F216" s="2">
        <v>7273</v>
      </c>
      <c r="G216" s="3">
        <v>96</v>
      </c>
      <c r="H216" s="45">
        <f>VLOOKUP(data[[#This Row],[Product]],products[],2,FALSE)</f>
        <v>10.62</v>
      </c>
      <c r="I216" s="45">
        <f>data[[#This Row],[Cost Per Unit]]*data[[#This Row],[Units]]</f>
        <v>1019.52</v>
      </c>
    </row>
    <row r="217" spans="3:9" x14ac:dyDescent="0.25">
      <c r="C217" t="s">
        <v>5</v>
      </c>
      <c r="D217" t="s">
        <v>39</v>
      </c>
      <c r="E217" t="s">
        <v>22</v>
      </c>
      <c r="F217" s="2">
        <v>6909</v>
      </c>
      <c r="G217" s="3">
        <v>81</v>
      </c>
      <c r="H217" s="45">
        <f>VLOOKUP(data[[#This Row],[Product]],products[],2,FALSE)</f>
        <v>9.77</v>
      </c>
      <c r="I217" s="45">
        <f>data[[#This Row],[Cost Per Unit]]*data[[#This Row],[Units]]</f>
        <v>791.37</v>
      </c>
    </row>
    <row r="218" spans="3:9" x14ac:dyDescent="0.25">
      <c r="C218" t="s">
        <v>9</v>
      </c>
      <c r="D218" t="s">
        <v>39</v>
      </c>
      <c r="E218" t="s">
        <v>24</v>
      </c>
      <c r="F218" s="2">
        <v>3920</v>
      </c>
      <c r="G218" s="3">
        <v>306</v>
      </c>
      <c r="H218" s="45">
        <f>VLOOKUP(data[[#This Row],[Product]],products[],2,FALSE)</f>
        <v>4.97</v>
      </c>
      <c r="I218" s="45">
        <f>data[[#This Row],[Cost Per Unit]]*data[[#This Row],[Units]]</f>
        <v>1520.82</v>
      </c>
    </row>
    <row r="219" spans="3:9" x14ac:dyDescent="0.25">
      <c r="C219" t="s">
        <v>10</v>
      </c>
      <c r="D219" t="s">
        <v>39</v>
      </c>
      <c r="E219" t="s">
        <v>21</v>
      </c>
      <c r="F219" s="2">
        <v>4858</v>
      </c>
      <c r="G219" s="3">
        <v>279</v>
      </c>
      <c r="H219" s="45">
        <f>VLOOKUP(data[[#This Row],[Product]],products[],2,FALSE)</f>
        <v>9</v>
      </c>
      <c r="I219" s="45">
        <f>data[[#This Row],[Cost Per Unit]]*data[[#This Row],[Units]]</f>
        <v>2511</v>
      </c>
    </row>
    <row r="220" spans="3:9" x14ac:dyDescent="0.25">
      <c r="C220" t="s">
        <v>2</v>
      </c>
      <c r="D220" t="s">
        <v>38</v>
      </c>
      <c r="E220" t="s">
        <v>4</v>
      </c>
      <c r="F220" s="2">
        <v>3549</v>
      </c>
      <c r="G220" s="3">
        <v>3</v>
      </c>
      <c r="H220" s="45">
        <f>VLOOKUP(data[[#This Row],[Product]],products[],2,FALSE)</f>
        <v>11.88</v>
      </c>
      <c r="I220" s="45">
        <f>data[[#This Row],[Cost Per Unit]]*data[[#This Row],[Units]]</f>
        <v>35.64</v>
      </c>
    </row>
    <row r="221" spans="3:9" x14ac:dyDescent="0.25">
      <c r="C221" t="s">
        <v>7</v>
      </c>
      <c r="D221" t="s">
        <v>39</v>
      </c>
      <c r="E221" t="s">
        <v>27</v>
      </c>
      <c r="F221" s="2">
        <v>966</v>
      </c>
      <c r="G221" s="3">
        <v>198</v>
      </c>
      <c r="H221" s="45">
        <f>VLOOKUP(data[[#This Row],[Product]],products[],2,FALSE)</f>
        <v>16.73</v>
      </c>
      <c r="I221" s="45">
        <f>data[[#This Row],[Cost Per Unit]]*data[[#This Row],[Units]]</f>
        <v>3312.54</v>
      </c>
    </row>
    <row r="222" spans="3:9" x14ac:dyDescent="0.25">
      <c r="C222" t="s">
        <v>5</v>
      </c>
      <c r="D222" t="s">
        <v>39</v>
      </c>
      <c r="E222" t="s">
        <v>18</v>
      </c>
      <c r="F222" s="2">
        <v>385</v>
      </c>
      <c r="G222" s="3">
        <v>249</v>
      </c>
      <c r="H222" s="45">
        <f>VLOOKUP(data[[#This Row],[Product]],products[],2,FALSE)</f>
        <v>6.47</v>
      </c>
      <c r="I222" s="45">
        <f>data[[#This Row],[Cost Per Unit]]*data[[#This Row],[Units]]</f>
        <v>1611.03</v>
      </c>
    </row>
    <row r="223" spans="3:9" x14ac:dyDescent="0.25">
      <c r="C223" t="s">
        <v>6</v>
      </c>
      <c r="D223" t="s">
        <v>34</v>
      </c>
      <c r="E223" t="s">
        <v>16</v>
      </c>
      <c r="F223" s="2">
        <v>2219</v>
      </c>
      <c r="G223" s="3">
        <v>75</v>
      </c>
      <c r="H223" s="45">
        <f>VLOOKUP(data[[#This Row],[Product]],products[],2,FALSE)</f>
        <v>8.7899999999999991</v>
      </c>
      <c r="I223" s="45">
        <f>data[[#This Row],[Cost Per Unit]]*data[[#This Row],[Units]]</f>
        <v>659.24999999999989</v>
      </c>
    </row>
    <row r="224" spans="3:9" x14ac:dyDescent="0.25">
      <c r="C224" t="s">
        <v>9</v>
      </c>
      <c r="D224" t="s">
        <v>36</v>
      </c>
      <c r="E224" t="s">
        <v>32</v>
      </c>
      <c r="F224" s="2">
        <v>2954</v>
      </c>
      <c r="G224" s="3">
        <v>189</v>
      </c>
      <c r="H224" s="45">
        <f>VLOOKUP(data[[#This Row],[Product]],products[],2,FALSE)</f>
        <v>8.65</v>
      </c>
      <c r="I224" s="45">
        <f>data[[#This Row],[Cost Per Unit]]*data[[#This Row],[Units]]</f>
        <v>1634.8500000000001</v>
      </c>
    </row>
    <row r="225" spans="3:9" x14ac:dyDescent="0.25">
      <c r="C225" t="s">
        <v>7</v>
      </c>
      <c r="D225" t="s">
        <v>36</v>
      </c>
      <c r="E225" t="s">
        <v>32</v>
      </c>
      <c r="F225" s="2">
        <v>280</v>
      </c>
      <c r="G225" s="3">
        <v>87</v>
      </c>
      <c r="H225" s="45">
        <f>VLOOKUP(data[[#This Row],[Product]],products[],2,FALSE)</f>
        <v>8.65</v>
      </c>
      <c r="I225" s="45">
        <f>data[[#This Row],[Cost Per Unit]]*data[[#This Row],[Units]]</f>
        <v>752.55000000000007</v>
      </c>
    </row>
    <row r="226" spans="3:9" x14ac:dyDescent="0.25">
      <c r="C226" t="s">
        <v>41</v>
      </c>
      <c r="D226" t="s">
        <v>36</v>
      </c>
      <c r="E226" t="s">
        <v>30</v>
      </c>
      <c r="F226" s="2">
        <v>6118</v>
      </c>
      <c r="G226" s="3">
        <v>174</v>
      </c>
      <c r="H226" s="45">
        <f>VLOOKUP(data[[#This Row],[Product]],products[],2,FALSE)</f>
        <v>14.49</v>
      </c>
      <c r="I226" s="45">
        <f>data[[#This Row],[Cost Per Unit]]*data[[#This Row],[Units]]</f>
        <v>2521.2600000000002</v>
      </c>
    </row>
    <row r="227" spans="3:9" x14ac:dyDescent="0.25">
      <c r="C227" t="s">
        <v>2</v>
      </c>
      <c r="D227" t="s">
        <v>39</v>
      </c>
      <c r="E227" t="s">
        <v>15</v>
      </c>
      <c r="F227" s="2">
        <v>4802</v>
      </c>
      <c r="G227" s="3">
        <v>36</v>
      </c>
      <c r="H227" s="45">
        <f>VLOOKUP(data[[#This Row],[Product]],products[],2,FALSE)</f>
        <v>11.73</v>
      </c>
      <c r="I227" s="45">
        <f>data[[#This Row],[Cost Per Unit]]*data[[#This Row],[Units]]</f>
        <v>422.28000000000003</v>
      </c>
    </row>
    <row r="228" spans="3:9" x14ac:dyDescent="0.25">
      <c r="C228" t="s">
        <v>9</v>
      </c>
      <c r="D228" t="s">
        <v>38</v>
      </c>
      <c r="E228" t="s">
        <v>24</v>
      </c>
      <c r="F228" s="2">
        <v>4137</v>
      </c>
      <c r="G228" s="3">
        <v>60</v>
      </c>
      <c r="H228" s="45">
        <f>VLOOKUP(data[[#This Row],[Product]],products[],2,FALSE)</f>
        <v>4.97</v>
      </c>
      <c r="I228" s="45">
        <f>data[[#This Row],[Cost Per Unit]]*data[[#This Row],[Units]]</f>
        <v>298.2</v>
      </c>
    </row>
    <row r="229" spans="3:9" x14ac:dyDescent="0.25">
      <c r="C229" t="s">
        <v>3</v>
      </c>
      <c r="D229" t="s">
        <v>35</v>
      </c>
      <c r="E229" t="s">
        <v>23</v>
      </c>
      <c r="F229" s="2">
        <v>2023</v>
      </c>
      <c r="G229" s="3">
        <v>78</v>
      </c>
      <c r="H229" s="45">
        <f>VLOOKUP(data[[#This Row],[Product]],products[],2,FALSE)</f>
        <v>6.49</v>
      </c>
      <c r="I229" s="45">
        <f>data[[#This Row],[Cost Per Unit]]*data[[#This Row],[Units]]</f>
        <v>506.22</v>
      </c>
    </row>
    <row r="230" spans="3:9" x14ac:dyDescent="0.25">
      <c r="C230" t="s">
        <v>9</v>
      </c>
      <c r="D230" t="s">
        <v>36</v>
      </c>
      <c r="E230" t="s">
        <v>30</v>
      </c>
      <c r="F230" s="2">
        <v>9051</v>
      </c>
      <c r="G230" s="3">
        <v>57</v>
      </c>
      <c r="H230" s="45">
        <f>VLOOKUP(data[[#This Row],[Product]],products[],2,FALSE)</f>
        <v>14.49</v>
      </c>
      <c r="I230" s="45">
        <f>data[[#This Row],[Cost Per Unit]]*data[[#This Row],[Units]]</f>
        <v>825.93000000000006</v>
      </c>
    </row>
    <row r="231" spans="3:9" x14ac:dyDescent="0.25">
      <c r="C231" t="s">
        <v>9</v>
      </c>
      <c r="D231" t="s">
        <v>37</v>
      </c>
      <c r="E231" t="s">
        <v>28</v>
      </c>
      <c r="F231" s="2">
        <v>2919</v>
      </c>
      <c r="G231" s="3">
        <v>45</v>
      </c>
      <c r="H231" s="45">
        <f>VLOOKUP(data[[#This Row],[Product]],products[],2,FALSE)</f>
        <v>10.38</v>
      </c>
      <c r="I231" s="45">
        <f>data[[#This Row],[Cost Per Unit]]*data[[#This Row],[Units]]</f>
        <v>467.1</v>
      </c>
    </row>
    <row r="232" spans="3:9" x14ac:dyDescent="0.25">
      <c r="C232" t="s">
        <v>41</v>
      </c>
      <c r="D232" t="s">
        <v>38</v>
      </c>
      <c r="E232" t="s">
        <v>22</v>
      </c>
      <c r="F232" s="2">
        <v>5915</v>
      </c>
      <c r="G232" s="3">
        <v>3</v>
      </c>
      <c r="H232" s="45">
        <f>VLOOKUP(data[[#This Row],[Product]],products[],2,FALSE)</f>
        <v>9.77</v>
      </c>
      <c r="I232" s="45">
        <f>data[[#This Row],[Cost Per Unit]]*data[[#This Row],[Units]]</f>
        <v>29.31</v>
      </c>
    </row>
    <row r="233" spans="3:9" x14ac:dyDescent="0.25">
      <c r="C233" t="s">
        <v>10</v>
      </c>
      <c r="D233" t="s">
        <v>35</v>
      </c>
      <c r="E233" t="s">
        <v>15</v>
      </c>
      <c r="F233" s="2">
        <v>2562</v>
      </c>
      <c r="G233" s="3">
        <v>6</v>
      </c>
      <c r="H233" s="45">
        <f>VLOOKUP(data[[#This Row],[Product]],products[],2,FALSE)</f>
        <v>11.73</v>
      </c>
      <c r="I233" s="45">
        <f>data[[#This Row],[Cost Per Unit]]*data[[#This Row],[Units]]</f>
        <v>70.38</v>
      </c>
    </row>
    <row r="234" spans="3:9" x14ac:dyDescent="0.25">
      <c r="C234" t="s">
        <v>5</v>
      </c>
      <c r="D234" t="s">
        <v>37</v>
      </c>
      <c r="E234" t="s">
        <v>25</v>
      </c>
      <c r="F234" s="2">
        <v>8813</v>
      </c>
      <c r="G234" s="3">
        <v>21</v>
      </c>
      <c r="H234" s="45">
        <f>VLOOKUP(data[[#This Row],[Product]],products[],2,FALSE)</f>
        <v>13.15</v>
      </c>
      <c r="I234" s="45">
        <f>data[[#This Row],[Cost Per Unit]]*data[[#This Row],[Units]]</f>
        <v>276.15000000000003</v>
      </c>
    </row>
    <row r="235" spans="3:9" x14ac:dyDescent="0.25">
      <c r="C235" t="s">
        <v>5</v>
      </c>
      <c r="D235" t="s">
        <v>36</v>
      </c>
      <c r="E235" t="s">
        <v>18</v>
      </c>
      <c r="F235" s="2">
        <v>6111</v>
      </c>
      <c r="G235" s="3">
        <v>3</v>
      </c>
      <c r="H235" s="45">
        <f>VLOOKUP(data[[#This Row],[Product]],products[],2,FALSE)</f>
        <v>6.47</v>
      </c>
      <c r="I235" s="45">
        <f>data[[#This Row],[Cost Per Unit]]*data[[#This Row],[Units]]</f>
        <v>19.41</v>
      </c>
    </row>
    <row r="236" spans="3:9" x14ac:dyDescent="0.25">
      <c r="C236" t="s">
        <v>8</v>
      </c>
      <c r="D236" t="s">
        <v>34</v>
      </c>
      <c r="E236" t="s">
        <v>31</v>
      </c>
      <c r="F236" s="2">
        <v>3507</v>
      </c>
      <c r="G236" s="3">
        <v>288</v>
      </c>
      <c r="H236" s="45">
        <f>VLOOKUP(data[[#This Row],[Product]],products[],2,FALSE)</f>
        <v>5.79</v>
      </c>
      <c r="I236" s="45">
        <f>data[[#This Row],[Cost Per Unit]]*data[[#This Row],[Units]]</f>
        <v>1667.52</v>
      </c>
    </row>
    <row r="237" spans="3:9" x14ac:dyDescent="0.25">
      <c r="C237" t="s">
        <v>6</v>
      </c>
      <c r="D237" t="s">
        <v>36</v>
      </c>
      <c r="E237" t="s">
        <v>13</v>
      </c>
      <c r="F237" s="2">
        <v>4319</v>
      </c>
      <c r="G237" s="3">
        <v>30</v>
      </c>
      <c r="H237" s="45">
        <f>VLOOKUP(data[[#This Row],[Product]],products[],2,FALSE)</f>
        <v>9.33</v>
      </c>
      <c r="I237" s="45">
        <f>data[[#This Row],[Cost Per Unit]]*data[[#This Row],[Units]]</f>
        <v>279.89999999999998</v>
      </c>
    </row>
    <row r="238" spans="3:9" x14ac:dyDescent="0.25">
      <c r="C238" t="s">
        <v>40</v>
      </c>
      <c r="D238" t="s">
        <v>38</v>
      </c>
      <c r="E238" t="s">
        <v>26</v>
      </c>
      <c r="F238" s="2">
        <v>609</v>
      </c>
      <c r="G238" s="3">
        <v>87</v>
      </c>
      <c r="H238" s="45">
        <f>VLOOKUP(data[[#This Row],[Product]],products[],2,FALSE)</f>
        <v>5.6</v>
      </c>
      <c r="I238" s="45">
        <f>data[[#This Row],[Cost Per Unit]]*data[[#This Row],[Units]]</f>
        <v>487.2</v>
      </c>
    </row>
    <row r="239" spans="3:9" x14ac:dyDescent="0.25">
      <c r="C239" t="s">
        <v>40</v>
      </c>
      <c r="D239" t="s">
        <v>39</v>
      </c>
      <c r="E239" t="s">
        <v>27</v>
      </c>
      <c r="F239" s="2">
        <v>6370</v>
      </c>
      <c r="G239" s="3">
        <v>30</v>
      </c>
      <c r="H239" s="45">
        <f>VLOOKUP(data[[#This Row],[Product]],products[],2,FALSE)</f>
        <v>16.73</v>
      </c>
      <c r="I239" s="45">
        <f>data[[#This Row],[Cost Per Unit]]*data[[#This Row],[Units]]</f>
        <v>501.90000000000003</v>
      </c>
    </row>
    <row r="240" spans="3:9" x14ac:dyDescent="0.25">
      <c r="C240" t="s">
        <v>5</v>
      </c>
      <c r="D240" t="s">
        <v>38</v>
      </c>
      <c r="E240" t="s">
        <v>19</v>
      </c>
      <c r="F240" s="2">
        <v>5474</v>
      </c>
      <c r="G240" s="3">
        <v>168</v>
      </c>
      <c r="H240" s="45">
        <f>VLOOKUP(data[[#This Row],[Product]],products[],2,FALSE)</f>
        <v>7.64</v>
      </c>
      <c r="I240" s="45">
        <f>data[[#This Row],[Cost Per Unit]]*data[[#This Row],[Units]]</f>
        <v>1283.52</v>
      </c>
    </row>
    <row r="241" spans="3:9" x14ac:dyDescent="0.25">
      <c r="C241" t="s">
        <v>40</v>
      </c>
      <c r="D241" t="s">
        <v>36</v>
      </c>
      <c r="E241" t="s">
        <v>27</v>
      </c>
      <c r="F241" s="2">
        <v>3164</v>
      </c>
      <c r="G241" s="3">
        <v>306</v>
      </c>
      <c r="H241" s="45">
        <f>VLOOKUP(data[[#This Row],[Product]],products[],2,FALSE)</f>
        <v>16.73</v>
      </c>
      <c r="I241" s="45">
        <f>data[[#This Row],[Cost Per Unit]]*data[[#This Row],[Units]]</f>
        <v>5119.38</v>
      </c>
    </row>
    <row r="242" spans="3:9" x14ac:dyDescent="0.25">
      <c r="C242" t="s">
        <v>6</v>
      </c>
      <c r="D242" t="s">
        <v>35</v>
      </c>
      <c r="E242" t="s">
        <v>4</v>
      </c>
      <c r="F242" s="2">
        <v>1302</v>
      </c>
      <c r="G242" s="3">
        <v>402</v>
      </c>
      <c r="H242" s="45">
        <f>VLOOKUP(data[[#This Row],[Product]],products[],2,FALSE)</f>
        <v>11.88</v>
      </c>
      <c r="I242" s="45">
        <f>data[[#This Row],[Cost Per Unit]]*data[[#This Row],[Units]]</f>
        <v>4775.76</v>
      </c>
    </row>
    <row r="243" spans="3:9" x14ac:dyDescent="0.25">
      <c r="C243" t="s">
        <v>3</v>
      </c>
      <c r="D243" t="s">
        <v>37</v>
      </c>
      <c r="E243" t="s">
        <v>28</v>
      </c>
      <c r="F243" s="2">
        <v>7308</v>
      </c>
      <c r="G243" s="3">
        <v>327</v>
      </c>
      <c r="H243" s="45">
        <f>VLOOKUP(data[[#This Row],[Product]],products[],2,FALSE)</f>
        <v>10.38</v>
      </c>
      <c r="I243" s="45">
        <f>data[[#This Row],[Cost Per Unit]]*data[[#This Row],[Units]]</f>
        <v>3394.26</v>
      </c>
    </row>
    <row r="244" spans="3:9" x14ac:dyDescent="0.25">
      <c r="C244" t="s">
        <v>40</v>
      </c>
      <c r="D244" t="s">
        <v>37</v>
      </c>
      <c r="E244" t="s">
        <v>27</v>
      </c>
      <c r="F244" s="2">
        <v>6132</v>
      </c>
      <c r="G244" s="3">
        <v>93</v>
      </c>
      <c r="H244" s="45">
        <f>VLOOKUP(data[[#This Row],[Product]],products[],2,FALSE)</f>
        <v>16.73</v>
      </c>
      <c r="I244" s="45">
        <f>data[[#This Row],[Cost Per Unit]]*data[[#This Row],[Units]]</f>
        <v>1555.89</v>
      </c>
    </row>
    <row r="245" spans="3:9" x14ac:dyDescent="0.25">
      <c r="C245" t="s">
        <v>10</v>
      </c>
      <c r="D245" t="s">
        <v>35</v>
      </c>
      <c r="E245" t="s">
        <v>14</v>
      </c>
      <c r="F245" s="2">
        <v>3472</v>
      </c>
      <c r="G245" s="3">
        <v>96</v>
      </c>
      <c r="H245" s="45">
        <f>VLOOKUP(data[[#This Row],[Product]],products[],2,FALSE)</f>
        <v>11.7</v>
      </c>
      <c r="I245" s="45">
        <f>data[[#This Row],[Cost Per Unit]]*data[[#This Row],[Units]]</f>
        <v>1123.1999999999998</v>
      </c>
    </row>
    <row r="246" spans="3:9" x14ac:dyDescent="0.25">
      <c r="C246" t="s">
        <v>8</v>
      </c>
      <c r="D246" t="s">
        <v>39</v>
      </c>
      <c r="E246" t="s">
        <v>18</v>
      </c>
      <c r="F246" s="2">
        <v>9660</v>
      </c>
      <c r="G246" s="3">
        <v>27</v>
      </c>
      <c r="H246" s="45">
        <f>VLOOKUP(data[[#This Row],[Product]],products[],2,FALSE)</f>
        <v>6.47</v>
      </c>
      <c r="I246" s="45">
        <f>data[[#This Row],[Cost Per Unit]]*data[[#This Row],[Units]]</f>
        <v>174.69</v>
      </c>
    </row>
    <row r="247" spans="3:9" x14ac:dyDescent="0.25">
      <c r="C247" t="s">
        <v>9</v>
      </c>
      <c r="D247" t="s">
        <v>38</v>
      </c>
      <c r="E247" t="s">
        <v>26</v>
      </c>
      <c r="F247" s="2">
        <v>2436</v>
      </c>
      <c r="G247" s="3">
        <v>99</v>
      </c>
      <c r="H247" s="45">
        <f>VLOOKUP(data[[#This Row],[Product]],products[],2,FALSE)</f>
        <v>5.6</v>
      </c>
      <c r="I247" s="45">
        <f>data[[#This Row],[Cost Per Unit]]*data[[#This Row],[Units]]</f>
        <v>554.4</v>
      </c>
    </row>
    <row r="248" spans="3:9" x14ac:dyDescent="0.25">
      <c r="C248" t="s">
        <v>9</v>
      </c>
      <c r="D248" t="s">
        <v>38</v>
      </c>
      <c r="E248" t="s">
        <v>33</v>
      </c>
      <c r="F248" s="2">
        <v>9506</v>
      </c>
      <c r="G248" s="3">
        <v>87</v>
      </c>
      <c r="H248" s="45">
        <f>VLOOKUP(data[[#This Row],[Product]],products[],2,FALSE)</f>
        <v>12.37</v>
      </c>
      <c r="I248" s="45">
        <f>data[[#This Row],[Cost Per Unit]]*data[[#This Row],[Units]]</f>
        <v>1076.1899999999998</v>
      </c>
    </row>
    <row r="249" spans="3:9" x14ac:dyDescent="0.25">
      <c r="C249" t="s">
        <v>10</v>
      </c>
      <c r="D249" t="s">
        <v>37</v>
      </c>
      <c r="E249" t="s">
        <v>21</v>
      </c>
      <c r="F249" s="2">
        <v>245</v>
      </c>
      <c r="G249" s="3">
        <v>288</v>
      </c>
      <c r="H249" s="45">
        <f>VLOOKUP(data[[#This Row],[Product]],products[],2,FALSE)</f>
        <v>9</v>
      </c>
      <c r="I249" s="45">
        <f>data[[#This Row],[Cost Per Unit]]*data[[#This Row],[Units]]</f>
        <v>2592</v>
      </c>
    </row>
    <row r="250" spans="3:9" x14ac:dyDescent="0.25">
      <c r="C250" t="s">
        <v>8</v>
      </c>
      <c r="D250" t="s">
        <v>35</v>
      </c>
      <c r="E250" t="s">
        <v>20</v>
      </c>
      <c r="F250" s="2">
        <v>2702</v>
      </c>
      <c r="G250" s="3">
        <v>363</v>
      </c>
      <c r="H250" s="45">
        <f>VLOOKUP(data[[#This Row],[Product]],products[],2,FALSE)</f>
        <v>10.62</v>
      </c>
      <c r="I250" s="45">
        <f>data[[#This Row],[Cost Per Unit]]*data[[#This Row],[Units]]</f>
        <v>3855.0599999999995</v>
      </c>
    </row>
    <row r="251" spans="3:9" x14ac:dyDescent="0.25">
      <c r="C251" t="s">
        <v>10</v>
      </c>
      <c r="D251" t="s">
        <v>34</v>
      </c>
      <c r="E251" t="s">
        <v>17</v>
      </c>
      <c r="F251" s="2">
        <v>700</v>
      </c>
      <c r="G251" s="3">
        <v>87</v>
      </c>
      <c r="H251" s="45">
        <f>VLOOKUP(data[[#This Row],[Product]],products[],2,FALSE)</f>
        <v>3.11</v>
      </c>
      <c r="I251" s="45">
        <f>data[[#This Row],[Cost Per Unit]]*data[[#This Row],[Units]]</f>
        <v>270.57</v>
      </c>
    </row>
    <row r="252" spans="3:9" x14ac:dyDescent="0.25">
      <c r="C252" t="s">
        <v>6</v>
      </c>
      <c r="D252" t="s">
        <v>34</v>
      </c>
      <c r="E252" t="s">
        <v>17</v>
      </c>
      <c r="F252" s="2">
        <v>3759</v>
      </c>
      <c r="G252" s="3">
        <v>150</v>
      </c>
      <c r="H252" s="45">
        <f>VLOOKUP(data[[#This Row],[Product]],products[],2,FALSE)</f>
        <v>3.11</v>
      </c>
      <c r="I252" s="45">
        <f>data[[#This Row],[Cost Per Unit]]*data[[#This Row],[Units]]</f>
        <v>466.5</v>
      </c>
    </row>
    <row r="253" spans="3:9" x14ac:dyDescent="0.25">
      <c r="C253" t="s">
        <v>2</v>
      </c>
      <c r="D253" t="s">
        <v>35</v>
      </c>
      <c r="E253" t="s">
        <v>17</v>
      </c>
      <c r="F253" s="2">
        <v>1589</v>
      </c>
      <c r="G253" s="3">
        <v>303</v>
      </c>
      <c r="H253" s="45">
        <f>VLOOKUP(data[[#This Row],[Product]],products[],2,FALSE)</f>
        <v>3.11</v>
      </c>
      <c r="I253" s="45">
        <f>data[[#This Row],[Cost Per Unit]]*data[[#This Row],[Units]]</f>
        <v>942.32999999999993</v>
      </c>
    </row>
    <row r="254" spans="3:9" x14ac:dyDescent="0.25">
      <c r="C254" t="s">
        <v>7</v>
      </c>
      <c r="D254" t="s">
        <v>35</v>
      </c>
      <c r="E254" t="s">
        <v>28</v>
      </c>
      <c r="F254" s="2">
        <v>5194</v>
      </c>
      <c r="G254" s="3">
        <v>288</v>
      </c>
      <c r="H254" s="45">
        <f>VLOOKUP(data[[#This Row],[Product]],products[],2,FALSE)</f>
        <v>10.38</v>
      </c>
      <c r="I254" s="45">
        <f>data[[#This Row],[Cost Per Unit]]*data[[#This Row],[Units]]</f>
        <v>2989.44</v>
      </c>
    </row>
    <row r="255" spans="3:9" x14ac:dyDescent="0.25">
      <c r="C255" t="s">
        <v>10</v>
      </c>
      <c r="D255" t="s">
        <v>36</v>
      </c>
      <c r="E255" t="s">
        <v>13</v>
      </c>
      <c r="F255" s="2">
        <v>945</v>
      </c>
      <c r="G255" s="3">
        <v>75</v>
      </c>
      <c r="H255" s="45">
        <f>VLOOKUP(data[[#This Row],[Product]],products[],2,FALSE)</f>
        <v>9.33</v>
      </c>
      <c r="I255" s="45">
        <f>data[[#This Row],[Cost Per Unit]]*data[[#This Row],[Units]]</f>
        <v>699.75</v>
      </c>
    </row>
    <row r="256" spans="3:9" x14ac:dyDescent="0.25">
      <c r="C256" t="s">
        <v>40</v>
      </c>
      <c r="D256" t="s">
        <v>38</v>
      </c>
      <c r="E256" t="s">
        <v>31</v>
      </c>
      <c r="F256" s="2">
        <v>1988</v>
      </c>
      <c r="G256" s="3">
        <v>39</v>
      </c>
      <c r="H256" s="45">
        <f>VLOOKUP(data[[#This Row],[Product]],products[],2,FALSE)</f>
        <v>5.79</v>
      </c>
      <c r="I256" s="45">
        <f>data[[#This Row],[Cost Per Unit]]*data[[#This Row],[Units]]</f>
        <v>225.81</v>
      </c>
    </row>
    <row r="257" spans="3:9" x14ac:dyDescent="0.25">
      <c r="C257" t="s">
        <v>6</v>
      </c>
      <c r="D257" t="s">
        <v>34</v>
      </c>
      <c r="E257" t="s">
        <v>32</v>
      </c>
      <c r="F257" s="2">
        <v>6734</v>
      </c>
      <c r="G257" s="3">
        <v>123</v>
      </c>
      <c r="H257" s="45">
        <f>VLOOKUP(data[[#This Row],[Product]],products[],2,FALSE)</f>
        <v>8.65</v>
      </c>
      <c r="I257" s="45">
        <f>data[[#This Row],[Cost Per Unit]]*data[[#This Row],[Units]]</f>
        <v>1063.95</v>
      </c>
    </row>
    <row r="258" spans="3:9" x14ac:dyDescent="0.25">
      <c r="C258" t="s">
        <v>40</v>
      </c>
      <c r="D258" t="s">
        <v>36</v>
      </c>
      <c r="E258" t="s">
        <v>4</v>
      </c>
      <c r="F258" s="2">
        <v>217</v>
      </c>
      <c r="G258" s="3">
        <v>36</v>
      </c>
      <c r="H258" s="45">
        <f>VLOOKUP(data[[#This Row],[Product]],products[],2,FALSE)</f>
        <v>11.88</v>
      </c>
      <c r="I258" s="45">
        <f>data[[#This Row],[Cost Per Unit]]*data[[#This Row],[Units]]</f>
        <v>427.68</v>
      </c>
    </row>
    <row r="259" spans="3:9" x14ac:dyDescent="0.25">
      <c r="C259" t="s">
        <v>5</v>
      </c>
      <c r="D259" t="s">
        <v>34</v>
      </c>
      <c r="E259" t="s">
        <v>22</v>
      </c>
      <c r="F259" s="2">
        <v>6279</v>
      </c>
      <c r="G259" s="3">
        <v>237</v>
      </c>
      <c r="H259" s="45">
        <f>VLOOKUP(data[[#This Row],[Product]],products[],2,FALSE)</f>
        <v>9.77</v>
      </c>
      <c r="I259" s="45">
        <f>data[[#This Row],[Cost Per Unit]]*data[[#This Row],[Units]]</f>
        <v>2315.4899999999998</v>
      </c>
    </row>
    <row r="260" spans="3:9" x14ac:dyDescent="0.25">
      <c r="C260" t="s">
        <v>40</v>
      </c>
      <c r="D260" t="s">
        <v>36</v>
      </c>
      <c r="E260" t="s">
        <v>13</v>
      </c>
      <c r="F260" s="2">
        <v>4424</v>
      </c>
      <c r="G260" s="3">
        <v>201</v>
      </c>
      <c r="H260" s="45">
        <f>VLOOKUP(data[[#This Row],[Product]],products[],2,FALSE)</f>
        <v>9.33</v>
      </c>
      <c r="I260" s="45">
        <f>data[[#This Row],[Cost Per Unit]]*data[[#This Row],[Units]]</f>
        <v>1875.33</v>
      </c>
    </row>
    <row r="261" spans="3:9" x14ac:dyDescent="0.25">
      <c r="C261" t="s">
        <v>2</v>
      </c>
      <c r="D261" t="s">
        <v>36</v>
      </c>
      <c r="E261" t="s">
        <v>17</v>
      </c>
      <c r="F261" s="2">
        <v>189</v>
      </c>
      <c r="G261" s="3">
        <v>48</v>
      </c>
      <c r="H261" s="45">
        <f>VLOOKUP(data[[#This Row],[Product]],products[],2,FALSE)</f>
        <v>3.11</v>
      </c>
      <c r="I261" s="45">
        <f>data[[#This Row],[Cost Per Unit]]*data[[#This Row],[Units]]</f>
        <v>149.28</v>
      </c>
    </row>
    <row r="262" spans="3:9" x14ac:dyDescent="0.25">
      <c r="C262" t="s">
        <v>5</v>
      </c>
      <c r="D262" t="s">
        <v>35</v>
      </c>
      <c r="E262" t="s">
        <v>22</v>
      </c>
      <c r="F262" s="2">
        <v>490</v>
      </c>
      <c r="G262" s="3">
        <v>84</v>
      </c>
      <c r="H262" s="45">
        <f>VLOOKUP(data[[#This Row],[Product]],products[],2,FALSE)</f>
        <v>9.77</v>
      </c>
      <c r="I262" s="45">
        <f>data[[#This Row],[Cost Per Unit]]*data[[#This Row],[Units]]</f>
        <v>820.68</v>
      </c>
    </row>
    <row r="263" spans="3:9" x14ac:dyDescent="0.25">
      <c r="C263" t="s">
        <v>8</v>
      </c>
      <c r="D263" t="s">
        <v>37</v>
      </c>
      <c r="E263" t="s">
        <v>21</v>
      </c>
      <c r="F263" s="2">
        <v>434</v>
      </c>
      <c r="G263" s="3">
        <v>87</v>
      </c>
      <c r="H263" s="45">
        <f>VLOOKUP(data[[#This Row],[Product]],products[],2,FALSE)</f>
        <v>9</v>
      </c>
      <c r="I263" s="45">
        <f>data[[#This Row],[Cost Per Unit]]*data[[#This Row],[Units]]</f>
        <v>783</v>
      </c>
    </row>
    <row r="264" spans="3:9" x14ac:dyDescent="0.25">
      <c r="C264" t="s">
        <v>7</v>
      </c>
      <c r="D264" t="s">
        <v>38</v>
      </c>
      <c r="E264" t="s">
        <v>30</v>
      </c>
      <c r="F264" s="2">
        <v>10129</v>
      </c>
      <c r="G264" s="3">
        <v>312</v>
      </c>
      <c r="H264" s="45">
        <f>VLOOKUP(data[[#This Row],[Product]],products[],2,FALSE)</f>
        <v>14.49</v>
      </c>
      <c r="I264" s="45">
        <f>data[[#This Row],[Cost Per Unit]]*data[[#This Row],[Units]]</f>
        <v>4520.88</v>
      </c>
    </row>
    <row r="265" spans="3:9" x14ac:dyDescent="0.25">
      <c r="C265" t="s">
        <v>3</v>
      </c>
      <c r="D265" t="s">
        <v>39</v>
      </c>
      <c r="E265" t="s">
        <v>28</v>
      </c>
      <c r="F265" s="2">
        <v>1652</v>
      </c>
      <c r="G265" s="3">
        <v>102</v>
      </c>
      <c r="H265" s="45">
        <f>VLOOKUP(data[[#This Row],[Product]],products[],2,FALSE)</f>
        <v>10.38</v>
      </c>
      <c r="I265" s="45">
        <f>data[[#This Row],[Cost Per Unit]]*data[[#This Row],[Units]]</f>
        <v>1058.76</v>
      </c>
    </row>
    <row r="266" spans="3:9" x14ac:dyDescent="0.25">
      <c r="C266" t="s">
        <v>8</v>
      </c>
      <c r="D266" t="s">
        <v>38</v>
      </c>
      <c r="E266" t="s">
        <v>21</v>
      </c>
      <c r="F266" s="2">
        <v>6433</v>
      </c>
      <c r="G266" s="3">
        <v>78</v>
      </c>
      <c r="H266" s="45">
        <f>VLOOKUP(data[[#This Row],[Product]],products[],2,FALSE)</f>
        <v>9</v>
      </c>
      <c r="I266" s="45">
        <f>data[[#This Row],[Cost Per Unit]]*data[[#This Row],[Units]]</f>
        <v>702</v>
      </c>
    </row>
    <row r="267" spans="3:9" x14ac:dyDescent="0.25">
      <c r="C267" t="s">
        <v>3</v>
      </c>
      <c r="D267" t="s">
        <v>34</v>
      </c>
      <c r="E267" t="s">
        <v>23</v>
      </c>
      <c r="F267" s="2">
        <v>2212</v>
      </c>
      <c r="G267" s="3">
        <v>117</v>
      </c>
      <c r="H267" s="45">
        <f>VLOOKUP(data[[#This Row],[Product]],products[],2,FALSE)</f>
        <v>6.49</v>
      </c>
      <c r="I267" s="45">
        <f>data[[#This Row],[Cost Per Unit]]*data[[#This Row],[Units]]</f>
        <v>759.33</v>
      </c>
    </row>
    <row r="268" spans="3:9" x14ac:dyDescent="0.25">
      <c r="C268" t="s">
        <v>41</v>
      </c>
      <c r="D268" t="s">
        <v>35</v>
      </c>
      <c r="E268" t="s">
        <v>19</v>
      </c>
      <c r="F268" s="2">
        <v>609</v>
      </c>
      <c r="G268" s="3">
        <v>99</v>
      </c>
      <c r="H268" s="45">
        <f>VLOOKUP(data[[#This Row],[Product]],products[],2,FALSE)</f>
        <v>7.64</v>
      </c>
      <c r="I268" s="45">
        <f>data[[#This Row],[Cost Per Unit]]*data[[#This Row],[Units]]</f>
        <v>756.36</v>
      </c>
    </row>
    <row r="269" spans="3:9" x14ac:dyDescent="0.25">
      <c r="C269" t="s">
        <v>40</v>
      </c>
      <c r="D269" t="s">
        <v>35</v>
      </c>
      <c r="E269" t="s">
        <v>24</v>
      </c>
      <c r="F269" s="2">
        <v>1638</v>
      </c>
      <c r="G269" s="3">
        <v>48</v>
      </c>
      <c r="H269" s="45">
        <f>VLOOKUP(data[[#This Row],[Product]],products[],2,FALSE)</f>
        <v>4.97</v>
      </c>
      <c r="I269" s="45">
        <f>data[[#This Row],[Cost Per Unit]]*data[[#This Row],[Units]]</f>
        <v>238.56</v>
      </c>
    </row>
    <row r="270" spans="3:9" x14ac:dyDescent="0.25">
      <c r="C270" t="s">
        <v>7</v>
      </c>
      <c r="D270" t="s">
        <v>34</v>
      </c>
      <c r="E270" t="s">
        <v>15</v>
      </c>
      <c r="F270" s="2">
        <v>3829</v>
      </c>
      <c r="G270" s="3">
        <v>24</v>
      </c>
      <c r="H270" s="45">
        <f>VLOOKUP(data[[#This Row],[Product]],products[],2,FALSE)</f>
        <v>11.73</v>
      </c>
      <c r="I270" s="45">
        <f>data[[#This Row],[Cost Per Unit]]*data[[#This Row],[Units]]</f>
        <v>281.52</v>
      </c>
    </row>
    <row r="271" spans="3:9" x14ac:dyDescent="0.25">
      <c r="C271" t="s">
        <v>40</v>
      </c>
      <c r="D271" t="s">
        <v>39</v>
      </c>
      <c r="E271" t="s">
        <v>15</v>
      </c>
      <c r="F271" s="2">
        <v>5775</v>
      </c>
      <c r="G271" s="3">
        <v>42</v>
      </c>
      <c r="H271" s="45">
        <f>VLOOKUP(data[[#This Row],[Product]],products[],2,FALSE)</f>
        <v>11.73</v>
      </c>
      <c r="I271" s="45">
        <f>data[[#This Row],[Cost Per Unit]]*data[[#This Row],[Units]]</f>
        <v>492.66</v>
      </c>
    </row>
    <row r="272" spans="3:9" x14ac:dyDescent="0.25">
      <c r="C272" t="s">
        <v>6</v>
      </c>
      <c r="D272" t="s">
        <v>35</v>
      </c>
      <c r="E272" t="s">
        <v>20</v>
      </c>
      <c r="F272" s="2">
        <v>1071</v>
      </c>
      <c r="G272" s="3">
        <v>270</v>
      </c>
      <c r="H272" s="45">
        <f>VLOOKUP(data[[#This Row],[Product]],products[],2,FALSE)</f>
        <v>10.62</v>
      </c>
      <c r="I272" s="45">
        <f>data[[#This Row],[Cost Per Unit]]*data[[#This Row],[Units]]</f>
        <v>2867.3999999999996</v>
      </c>
    </row>
    <row r="273" spans="3:9" x14ac:dyDescent="0.25">
      <c r="C273" t="s">
        <v>8</v>
      </c>
      <c r="D273" t="s">
        <v>36</v>
      </c>
      <c r="E273" t="s">
        <v>23</v>
      </c>
      <c r="F273" s="2">
        <v>5019</v>
      </c>
      <c r="G273" s="3">
        <v>150</v>
      </c>
      <c r="H273" s="45">
        <f>VLOOKUP(data[[#This Row],[Product]],products[],2,FALSE)</f>
        <v>6.49</v>
      </c>
      <c r="I273" s="45">
        <f>data[[#This Row],[Cost Per Unit]]*data[[#This Row],[Units]]</f>
        <v>973.5</v>
      </c>
    </row>
    <row r="274" spans="3:9" x14ac:dyDescent="0.25">
      <c r="C274" t="s">
        <v>2</v>
      </c>
      <c r="D274" t="s">
        <v>37</v>
      </c>
      <c r="E274" t="s">
        <v>15</v>
      </c>
      <c r="F274" s="2">
        <v>2863</v>
      </c>
      <c r="G274" s="3">
        <v>42</v>
      </c>
      <c r="H274" s="45">
        <f>VLOOKUP(data[[#This Row],[Product]],products[],2,FALSE)</f>
        <v>11.73</v>
      </c>
      <c r="I274" s="45">
        <f>data[[#This Row],[Cost Per Unit]]*data[[#This Row],[Units]]</f>
        <v>492.66</v>
      </c>
    </row>
    <row r="275" spans="3:9" x14ac:dyDescent="0.25">
      <c r="C275" t="s">
        <v>40</v>
      </c>
      <c r="D275" t="s">
        <v>35</v>
      </c>
      <c r="E275" t="s">
        <v>29</v>
      </c>
      <c r="F275" s="2">
        <v>1617</v>
      </c>
      <c r="G275" s="3">
        <v>126</v>
      </c>
      <c r="H275" s="45">
        <f>VLOOKUP(data[[#This Row],[Product]],products[],2,FALSE)</f>
        <v>7.16</v>
      </c>
      <c r="I275" s="45">
        <f>data[[#This Row],[Cost Per Unit]]*data[[#This Row],[Units]]</f>
        <v>902.16</v>
      </c>
    </row>
    <row r="276" spans="3:9" x14ac:dyDescent="0.25">
      <c r="C276" t="s">
        <v>6</v>
      </c>
      <c r="D276" t="s">
        <v>37</v>
      </c>
      <c r="E276" t="s">
        <v>26</v>
      </c>
      <c r="F276" s="2">
        <v>6818</v>
      </c>
      <c r="G276" s="3">
        <v>6</v>
      </c>
      <c r="H276" s="45">
        <f>VLOOKUP(data[[#This Row],[Product]],products[],2,FALSE)</f>
        <v>5.6</v>
      </c>
      <c r="I276" s="45">
        <f>data[[#This Row],[Cost Per Unit]]*data[[#This Row],[Units]]</f>
        <v>33.599999999999994</v>
      </c>
    </row>
    <row r="277" spans="3:9" x14ac:dyDescent="0.25">
      <c r="C277" t="s">
        <v>3</v>
      </c>
      <c r="D277" t="s">
        <v>35</v>
      </c>
      <c r="E277" t="s">
        <v>15</v>
      </c>
      <c r="F277" s="2">
        <v>6657</v>
      </c>
      <c r="G277" s="3">
        <v>276</v>
      </c>
      <c r="H277" s="45">
        <f>VLOOKUP(data[[#This Row],[Product]],products[],2,FALSE)</f>
        <v>11.73</v>
      </c>
      <c r="I277" s="45">
        <f>data[[#This Row],[Cost Per Unit]]*data[[#This Row],[Units]]</f>
        <v>3237.48</v>
      </c>
    </row>
    <row r="278" spans="3:9" x14ac:dyDescent="0.25">
      <c r="C278" t="s">
        <v>3</v>
      </c>
      <c r="D278" t="s">
        <v>34</v>
      </c>
      <c r="E278" t="s">
        <v>17</v>
      </c>
      <c r="F278" s="2">
        <v>2919</v>
      </c>
      <c r="G278" s="3">
        <v>93</v>
      </c>
      <c r="H278" s="45">
        <f>VLOOKUP(data[[#This Row],[Product]],products[],2,FALSE)</f>
        <v>3.11</v>
      </c>
      <c r="I278" s="45">
        <f>data[[#This Row],[Cost Per Unit]]*data[[#This Row],[Units]]</f>
        <v>289.22999999999996</v>
      </c>
    </row>
    <row r="279" spans="3:9" x14ac:dyDescent="0.25">
      <c r="C279" t="s">
        <v>2</v>
      </c>
      <c r="D279" t="s">
        <v>36</v>
      </c>
      <c r="E279" t="s">
        <v>31</v>
      </c>
      <c r="F279" s="2">
        <v>3094</v>
      </c>
      <c r="G279" s="3">
        <v>246</v>
      </c>
      <c r="H279" s="45">
        <f>VLOOKUP(data[[#This Row],[Product]],products[],2,FALSE)</f>
        <v>5.79</v>
      </c>
      <c r="I279" s="45">
        <f>data[[#This Row],[Cost Per Unit]]*data[[#This Row],[Units]]</f>
        <v>1424.34</v>
      </c>
    </row>
    <row r="280" spans="3:9" x14ac:dyDescent="0.25">
      <c r="C280" t="s">
        <v>6</v>
      </c>
      <c r="D280" t="s">
        <v>39</v>
      </c>
      <c r="E280" t="s">
        <v>24</v>
      </c>
      <c r="F280" s="2">
        <v>2989</v>
      </c>
      <c r="G280" s="3">
        <v>3</v>
      </c>
      <c r="H280" s="45">
        <f>VLOOKUP(data[[#This Row],[Product]],products[],2,FALSE)</f>
        <v>4.97</v>
      </c>
      <c r="I280" s="45">
        <f>data[[#This Row],[Cost Per Unit]]*data[[#This Row],[Units]]</f>
        <v>14.91</v>
      </c>
    </row>
    <row r="281" spans="3:9" x14ac:dyDescent="0.25">
      <c r="C281" t="s">
        <v>8</v>
      </c>
      <c r="D281" t="s">
        <v>38</v>
      </c>
      <c r="E281" t="s">
        <v>27</v>
      </c>
      <c r="F281" s="2">
        <v>2268</v>
      </c>
      <c r="G281" s="3">
        <v>63</v>
      </c>
      <c r="H281" s="45">
        <f>VLOOKUP(data[[#This Row],[Product]],products[],2,FALSE)</f>
        <v>16.73</v>
      </c>
      <c r="I281" s="45">
        <f>data[[#This Row],[Cost Per Unit]]*data[[#This Row],[Units]]</f>
        <v>1053.99</v>
      </c>
    </row>
    <row r="282" spans="3:9" x14ac:dyDescent="0.25">
      <c r="C282" t="s">
        <v>5</v>
      </c>
      <c r="D282" t="s">
        <v>35</v>
      </c>
      <c r="E282" t="s">
        <v>31</v>
      </c>
      <c r="F282" s="2">
        <v>4753</v>
      </c>
      <c r="G282" s="3">
        <v>246</v>
      </c>
      <c r="H282" s="45">
        <f>VLOOKUP(data[[#This Row],[Product]],products[],2,FALSE)</f>
        <v>5.79</v>
      </c>
      <c r="I282" s="45">
        <f>data[[#This Row],[Cost Per Unit]]*data[[#This Row],[Units]]</f>
        <v>1424.34</v>
      </c>
    </row>
    <row r="283" spans="3:9" x14ac:dyDescent="0.25">
      <c r="C283" t="s">
        <v>2</v>
      </c>
      <c r="D283" t="s">
        <v>34</v>
      </c>
      <c r="E283" t="s">
        <v>19</v>
      </c>
      <c r="F283" s="2">
        <v>7511</v>
      </c>
      <c r="G283" s="3">
        <v>120</v>
      </c>
      <c r="H283" s="45">
        <f>VLOOKUP(data[[#This Row],[Product]],products[],2,FALSE)</f>
        <v>7.64</v>
      </c>
      <c r="I283" s="45">
        <f>data[[#This Row],[Cost Per Unit]]*data[[#This Row],[Units]]</f>
        <v>916.8</v>
      </c>
    </row>
    <row r="284" spans="3:9" x14ac:dyDescent="0.25">
      <c r="C284" t="s">
        <v>2</v>
      </c>
      <c r="D284" t="s">
        <v>38</v>
      </c>
      <c r="E284" t="s">
        <v>31</v>
      </c>
      <c r="F284" s="2">
        <v>4326</v>
      </c>
      <c r="G284" s="3">
        <v>348</v>
      </c>
      <c r="H284" s="45">
        <f>VLOOKUP(data[[#This Row],[Product]],products[],2,FALSE)</f>
        <v>5.79</v>
      </c>
      <c r="I284" s="45">
        <f>data[[#This Row],[Cost Per Unit]]*data[[#This Row],[Units]]</f>
        <v>2014.92</v>
      </c>
    </row>
    <row r="285" spans="3:9" x14ac:dyDescent="0.25">
      <c r="C285" t="s">
        <v>41</v>
      </c>
      <c r="D285" t="s">
        <v>34</v>
      </c>
      <c r="E285" t="s">
        <v>23</v>
      </c>
      <c r="F285" s="2">
        <v>4935</v>
      </c>
      <c r="G285" s="3">
        <v>126</v>
      </c>
      <c r="H285" s="45">
        <f>VLOOKUP(data[[#This Row],[Product]],products[],2,FALSE)</f>
        <v>6.49</v>
      </c>
      <c r="I285" s="45">
        <f>data[[#This Row],[Cost Per Unit]]*data[[#This Row],[Units]]</f>
        <v>817.74</v>
      </c>
    </row>
    <row r="286" spans="3:9" x14ac:dyDescent="0.25">
      <c r="C286" t="s">
        <v>6</v>
      </c>
      <c r="D286" t="s">
        <v>35</v>
      </c>
      <c r="E286" t="s">
        <v>30</v>
      </c>
      <c r="F286" s="2">
        <v>4781</v>
      </c>
      <c r="G286" s="3">
        <v>123</v>
      </c>
      <c r="H286" s="45">
        <f>VLOOKUP(data[[#This Row],[Product]],products[],2,FALSE)</f>
        <v>14.49</v>
      </c>
      <c r="I286" s="45">
        <f>data[[#This Row],[Cost Per Unit]]*data[[#This Row],[Units]]</f>
        <v>1782.27</v>
      </c>
    </row>
    <row r="287" spans="3:9" x14ac:dyDescent="0.25">
      <c r="C287" t="s">
        <v>5</v>
      </c>
      <c r="D287" t="s">
        <v>38</v>
      </c>
      <c r="E287" t="s">
        <v>25</v>
      </c>
      <c r="F287" s="2">
        <v>7483</v>
      </c>
      <c r="G287" s="3">
        <v>45</v>
      </c>
      <c r="H287" s="45">
        <f>VLOOKUP(data[[#This Row],[Product]],products[],2,FALSE)</f>
        <v>13.15</v>
      </c>
      <c r="I287" s="45">
        <f>data[[#This Row],[Cost Per Unit]]*data[[#This Row],[Units]]</f>
        <v>591.75</v>
      </c>
    </row>
    <row r="288" spans="3:9" x14ac:dyDescent="0.25">
      <c r="C288" t="s">
        <v>10</v>
      </c>
      <c r="D288" t="s">
        <v>38</v>
      </c>
      <c r="E288" t="s">
        <v>4</v>
      </c>
      <c r="F288" s="2">
        <v>6860</v>
      </c>
      <c r="G288" s="3">
        <v>126</v>
      </c>
      <c r="H288" s="45">
        <f>VLOOKUP(data[[#This Row],[Product]],products[],2,FALSE)</f>
        <v>11.88</v>
      </c>
      <c r="I288" s="45">
        <f>data[[#This Row],[Cost Per Unit]]*data[[#This Row],[Units]]</f>
        <v>1496.88</v>
      </c>
    </row>
    <row r="289" spans="3:9" x14ac:dyDescent="0.25">
      <c r="C289" t="s">
        <v>40</v>
      </c>
      <c r="D289" t="s">
        <v>37</v>
      </c>
      <c r="E289" t="s">
        <v>29</v>
      </c>
      <c r="F289" s="2">
        <v>9002</v>
      </c>
      <c r="G289" s="3">
        <v>72</v>
      </c>
      <c r="H289" s="45">
        <f>VLOOKUP(data[[#This Row],[Product]],products[],2,FALSE)</f>
        <v>7.16</v>
      </c>
      <c r="I289" s="45">
        <f>data[[#This Row],[Cost Per Unit]]*data[[#This Row],[Units]]</f>
        <v>515.52</v>
      </c>
    </row>
    <row r="290" spans="3:9" x14ac:dyDescent="0.25">
      <c r="C290" t="s">
        <v>6</v>
      </c>
      <c r="D290" t="s">
        <v>36</v>
      </c>
      <c r="E290" t="s">
        <v>29</v>
      </c>
      <c r="F290" s="2">
        <v>1400</v>
      </c>
      <c r="G290" s="3">
        <v>135</v>
      </c>
      <c r="H290" s="45">
        <f>VLOOKUP(data[[#This Row],[Product]],products[],2,FALSE)</f>
        <v>7.16</v>
      </c>
      <c r="I290" s="45">
        <f>data[[#This Row],[Cost Per Unit]]*data[[#This Row],[Units]]</f>
        <v>966.6</v>
      </c>
    </row>
    <row r="291" spans="3:9" x14ac:dyDescent="0.25">
      <c r="C291" t="s">
        <v>10</v>
      </c>
      <c r="D291" t="s">
        <v>34</v>
      </c>
      <c r="E291" t="s">
        <v>22</v>
      </c>
      <c r="F291" s="2">
        <v>4053</v>
      </c>
      <c r="G291" s="3">
        <v>24</v>
      </c>
      <c r="H291" s="45">
        <f>VLOOKUP(data[[#This Row],[Product]],products[],2,FALSE)</f>
        <v>9.77</v>
      </c>
      <c r="I291" s="45">
        <f>data[[#This Row],[Cost Per Unit]]*data[[#This Row],[Units]]</f>
        <v>234.48</v>
      </c>
    </row>
    <row r="292" spans="3:9" x14ac:dyDescent="0.25">
      <c r="C292" t="s">
        <v>7</v>
      </c>
      <c r="D292" t="s">
        <v>36</v>
      </c>
      <c r="E292" t="s">
        <v>31</v>
      </c>
      <c r="F292" s="2">
        <v>2149</v>
      </c>
      <c r="G292" s="3">
        <v>117</v>
      </c>
      <c r="H292" s="45">
        <f>VLOOKUP(data[[#This Row],[Product]],products[],2,FALSE)</f>
        <v>5.79</v>
      </c>
      <c r="I292" s="45">
        <f>data[[#This Row],[Cost Per Unit]]*data[[#This Row],[Units]]</f>
        <v>677.43</v>
      </c>
    </row>
    <row r="293" spans="3:9" x14ac:dyDescent="0.25">
      <c r="C293" t="s">
        <v>3</v>
      </c>
      <c r="D293" t="s">
        <v>39</v>
      </c>
      <c r="E293" t="s">
        <v>29</v>
      </c>
      <c r="F293" s="2">
        <v>3640</v>
      </c>
      <c r="G293" s="3">
        <v>51</v>
      </c>
      <c r="H293" s="45">
        <f>VLOOKUP(data[[#This Row],[Product]],products[],2,FALSE)</f>
        <v>7.16</v>
      </c>
      <c r="I293" s="45">
        <f>data[[#This Row],[Cost Per Unit]]*data[[#This Row],[Units]]</f>
        <v>365.16</v>
      </c>
    </row>
    <row r="294" spans="3:9" x14ac:dyDescent="0.25">
      <c r="C294" t="s">
        <v>2</v>
      </c>
      <c r="D294" t="s">
        <v>39</v>
      </c>
      <c r="E294" t="s">
        <v>23</v>
      </c>
      <c r="F294" s="2">
        <v>630</v>
      </c>
      <c r="G294" s="3">
        <v>36</v>
      </c>
      <c r="H294" s="45">
        <f>VLOOKUP(data[[#This Row],[Product]],products[],2,FALSE)</f>
        <v>6.49</v>
      </c>
      <c r="I294" s="45">
        <f>data[[#This Row],[Cost Per Unit]]*data[[#This Row],[Units]]</f>
        <v>233.64000000000001</v>
      </c>
    </row>
    <row r="295" spans="3:9" x14ac:dyDescent="0.25">
      <c r="C295" t="s">
        <v>9</v>
      </c>
      <c r="D295" t="s">
        <v>35</v>
      </c>
      <c r="E295" t="s">
        <v>27</v>
      </c>
      <c r="F295" s="2">
        <v>2429</v>
      </c>
      <c r="G295" s="3">
        <v>144</v>
      </c>
      <c r="H295" s="45">
        <f>VLOOKUP(data[[#This Row],[Product]],products[],2,FALSE)</f>
        <v>16.73</v>
      </c>
      <c r="I295" s="45">
        <f>data[[#This Row],[Cost Per Unit]]*data[[#This Row],[Units]]</f>
        <v>2409.12</v>
      </c>
    </row>
    <row r="296" spans="3:9" x14ac:dyDescent="0.25">
      <c r="C296" t="s">
        <v>9</v>
      </c>
      <c r="D296" t="s">
        <v>36</v>
      </c>
      <c r="E296" t="s">
        <v>25</v>
      </c>
      <c r="F296" s="2">
        <v>2142</v>
      </c>
      <c r="G296" s="3">
        <v>114</v>
      </c>
      <c r="H296" s="45">
        <f>VLOOKUP(data[[#This Row],[Product]],products[],2,FALSE)</f>
        <v>13.15</v>
      </c>
      <c r="I296" s="45">
        <f>data[[#This Row],[Cost Per Unit]]*data[[#This Row],[Units]]</f>
        <v>1499.1000000000001</v>
      </c>
    </row>
    <row r="297" spans="3:9" x14ac:dyDescent="0.25">
      <c r="C297" t="s">
        <v>7</v>
      </c>
      <c r="D297" t="s">
        <v>37</v>
      </c>
      <c r="E297" t="s">
        <v>30</v>
      </c>
      <c r="F297" s="2">
        <v>6454</v>
      </c>
      <c r="G297" s="3">
        <v>54</v>
      </c>
      <c r="H297" s="45">
        <f>VLOOKUP(data[[#This Row],[Product]],products[],2,FALSE)</f>
        <v>14.49</v>
      </c>
      <c r="I297" s="45">
        <f>data[[#This Row],[Cost Per Unit]]*data[[#This Row],[Units]]</f>
        <v>782.46</v>
      </c>
    </row>
    <row r="298" spans="3:9" x14ac:dyDescent="0.25">
      <c r="C298" t="s">
        <v>7</v>
      </c>
      <c r="D298" t="s">
        <v>37</v>
      </c>
      <c r="E298" t="s">
        <v>16</v>
      </c>
      <c r="F298" s="2">
        <v>4487</v>
      </c>
      <c r="G298" s="3">
        <v>333</v>
      </c>
      <c r="H298" s="45">
        <f>VLOOKUP(data[[#This Row],[Product]],products[],2,FALSE)</f>
        <v>8.7899999999999991</v>
      </c>
      <c r="I298" s="45">
        <f>data[[#This Row],[Cost Per Unit]]*data[[#This Row],[Units]]</f>
        <v>2927.0699999999997</v>
      </c>
    </row>
    <row r="299" spans="3:9" x14ac:dyDescent="0.25">
      <c r="C299" t="s">
        <v>3</v>
      </c>
      <c r="D299" t="s">
        <v>37</v>
      </c>
      <c r="E299" t="s">
        <v>4</v>
      </c>
      <c r="F299" s="2">
        <v>938</v>
      </c>
      <c r="G299" s="3">
        <v>366</v>
      </c>
      <c r="H299" s="45">
        <f>VLOOKUP(data[[#This Row],[Product]],products[],2,FALSE)</f>
        <v>11.88</v>
      </c>
      <c r="I299" s="45">
        <f>data[[#This Row],[Cost Per Unit]]*data[[#This Row],[Units]]</f>
        <v>4348.08</v>
      </c>
    </row>
    <row r="300" spans="3:9" x14ac:dyDescent="0.25">
      <c r="C300" t="s">
        <v>3</v>
      </c>
      <c r="D300" t="s">
        <v>38</v>
      </c>
      <c r="E300" t="s">
        <v>26</v>
      </c>
      <c r="F300" s="2">
        <v>8841</v>
      </c>
      <c r="G300" s="3">
        <v>303</v>
      </c>
      <c r="H300" s="45">
        <f>VLOOKUP(data[[#This Row],[Product]],products[],2,FALSE)</f>
        <v>5.6</v>
      </c>
      <c r="I300" s="45">
        <f>data[[#This Row],[Cost Per Unit]]*data[[#This Row],[Units]]</f>
        <v>1696.8</v>
      </c>
    </row>
    <row r="301" spans="3:9" x14ac:dyDescent="0.25">
      <c r="C301" t="s">
        <v>2</v>
      </c>
      <c r="D301" t="s">
        <v>39</v>
      </c>
      <c r="E301" t="s">
        <v>33</v>
      </c>
      <c r="F301" s="2">
        <v>4018</v>
      </c>
      <c r="G301" s="3">
        <v>126</v>
      </c>
      <c r="H301" s="45">
        <f>VLOOKUP(data[[#This Row],[Product]],products[],2,FALSE)</f>
        <v>12.37</v>
      </c>
      <c r="I301" s="45">
        <f>data[[#This Row],[Cost Per Unit]]*data[[#This Row],[Units]]</f>
        <v>1558.62</v>
      </c>
    </row>
    <row r="302" spans="3:9" x14ac:dyDescent="0.25">
      <c r="C302" t="s">
        <v>41</v>
      </c>
      <c r="D302" t="s">
        <v>37</v>
      </c>
      <c r="E302" t="s">
        <v>15</v>
      </c>
      <c r="F302" s="2">
        <v>714</v>
      </c>
      <c r="G302" s="3">
        <v>231</v>
      </c>
      <c r="H302" s="45">
        <f>VLOOKUP(data[[#This Row],[Product]],products[],2,FALSE)</f>
        <v>11.73</v>
      </c>
      <c r="I302" s="45">
        <f>data[[#This Row],[Cost Per Unit]]*data[[#This Row],[Units]]</f>
        <v>2709.63</v>
      </c>
    </row>
    <row r="303" spans="3:9" x14ac:dyDescent="0.25">
      <c r="C303" t="s">
        <v>9</v>
      </c>
      <c r="D303" t="s">
        <v>38</v>
      </c>
      <c r="E303" t="s">
        <v>25</v>
      </c>
      <c r="F303" s="2">
        <v>3850</v>
      </c>
      <c r="G303" s="3">
        <v>102</v>
      </c>
      <c r="H303" s="45">
        <f>VLOOKUP(data[[#This Row],[Product]],products[],2,FALSE)</f>
        <v>13.15</v>
      </c>
      <c r="I303" s="45">
        <f>data[[#This Row],[Cost Per Unit]]*data[[#This Row],[Units]]</f>
        <v>1341.3</v>
      </c>
    </row>
    <row r="312" spans="6:7" x14ac:dyDescent="0.25">
      <c r="F312" s="2"/>
      <c r="G312" s="3"/>
    </row>
    <row r="313" spans="6:7" x14ac:dyDescent="0.25">
      <c r="F313" s="2"/>
      <c r="G313" s="3"/>
    </row>
    <row r="314" spans="6:7" x14ac:dyDescent="0.25">
      <c r="F314" s="2"/>
      <c r="G314" s="3"/>
    </row>
    <row r="315" spans="6:7" x14ac:dyDescent="0.25">
      <c r="F315" s="2"/>
      <c r="G315" s="3"/>
    </row>
    <row r="316" spans="6:7" x14ac:dyDescent="0.25">
      <c r="F316" s="2"/>
      <c r="G316" s="3"/>
    </row>
    <row r="317" spans="6:7" x14ac:dyDescent="0.25">
      <c r="F317" s="2"/>
      <c r="G317" s="3"/>
    </row>
    <row r="318" spans="6:7" x14ac:dyDescent="0.25">
      <c r="F318" s="2"/>
      <c r="G318" s="3"/>
    </row>
    <row r="319" spans="6:7" x14ac:dyDescent="0.25">
      <c r="F319" s="2"/>
      <c r="G319" s="3"/>
    </row>
    <row r="320" spans="6:7" x14ac:dyDescent="0.25">
      <c r="F320" s="2"/>
      <c r="G320" s="3"/>
    </row>
    <row r="321" spans="6:7" x14ac:dyDescent="0.25">
      <c r="F321" s="2"/>
      <c r="G321" s="3"/>
    </row>
    <row r="322" spans="6:7" x14ac:dyDescent="0.25">
      <c r="F322" s="2"/>
      <c r="G322" s="3"/>
    </row>
    <row r="323" spans="6:7" x14ac:dyDescent="0.25">
      <c r="F323" s="2"/>
      <c r="G323" s="3"/>
    </row>
    <row r="324" spans="6:7" x14ac:dyDescent="0.25">
      <c r="F324" s="2"/>
      <c r="G324" s="3"/>
    </row>
    <row r="325" spans="6:7" x14ac:dyDescent="0.25">
      <c r="F325" s="2"/>
      <c r="G325" s="3"/>
    </row>
    <row r="326" spans="6:7" x14ac:dyDescent="0.25">
      <c r="F326" s="2"/>
      <c r="G326" s="3"/>
    </row>
    <row r="327" spans="6:7" x14ac:dyDescent="0.25">
      <c r="F327" s="2"/>
      <c r="G327" s="3"/>
    </row>
    <row r="328" spans="6:7" x14ac:dyDescent="0.25">
      <c r="F328" s="2"/>
      <c r="G328" s="3"/>
    </row>
    <row r="329" spans="6:7" x14ac:dyDescent="0.25">
      <c r="F329" s="2"/>
      <c r="G329" s="3"/>
    </row>
    <row r="330" spans="6:7" x14ac:dyDescent="0.25">
      <c r="F330" s="2"/>
      <c r="G330" s="3"/>
    </row>
    <row r="331" spans="6:7" x14ac:dyDescent="0.25">
      <c r="F331" s="2"/>
      <c r="G331" s="3"/>
    </row>
    <row r="332" spans="6:7" x14ac:dyDescent="0.25">
      <c r="F332" s="2"/>
      <c r="G332" s="3"/>
    </row>
    <row r="333" spans="6:7" x14ac:dyDescent="0.25">
      <c r="F333" s="2"/>
      <c r="G333" s="3"/>
    </row>
    <row r="334" spans="6:7" x14ac:dyDescent="0.25">
      <c r="F334" s="2"/>
      <c r="G334" s="3"/>
    </row>
    <row r="335" spans="6:7" x14ac:dyDescent="0.25">
      <c r="F335" s="2"/>
      <c r="G335" s="3"/>
    </row>
    <row r="336" spans="6:7" x14ac:dyDescent="0.25">
      <c r="F336" s="2"/>
      <c r="G336" s="3"/>
    </row>
    <row r="337" spans="6:7" x14ac:dyDescent="0.25">
      <c r="F337" s="2"/>
      <c r="G337" s="3"/>
    </row>
    <row r="338" spans="6:7" x14ac:dyDescent="0.25">
      <c r="F338" s="2"/>
      <c r="G338" s="3"/>
    </row>
    <row r="339" spans="6:7" x14ac:dyDescent="0.25">
      <c r="F339" s="2"/>
      <c r="G339" s="3"/>
    </row>
    <row r="340" spans="6:7" x14ac:dyDescent="0.25">
      <c r="F340" s="2"/>
      <c r="G340" s="3"/>
    </row>
    <row r="341" spans="6:7" x14ac:dyDescent="0.25">
      <c r="F341" s="2"/>
      <c r="G341" s="3"/>
    </row>
    <row r="342" spans="6:7" x14ac:dyDescent="0.25">
      <c r="F342" s="2"/>
      <c r="G342" s="3"/>
    </row>
    <row r="343" spans="6:7" x14ac:dyDescent="0.25">
      <c r="F343" s="2"/>
      <c r="G343" s="3"/>
    </row>
    <row r="344" spans="6:7" x14ac:dyDescent="0.25">
      <c r="F344" s="2"/>
      <c r="G344" s="3"/>
    </row>
    <row r="345" spans="6:7" x14ac:dyDescent="0.25">
      <c r="F345" s="2"/>
      <c r="G345" s="3"/>
    </row>
    <row r="346" spans="6:7" x14ac:dyDescent="0.25">
      <c r="F346" s="2"/>
      <c r="G346" s="3"/>
    </row>
    <row r="347" spans="6:7" x14ac:dyDescent="0.25">
      <c r="F347" s="2"/>
      <c r="G347" s="3"/>
    </row>
    <row r="348" spans="6:7" x14ac:dyDescent="0.25">
      <c r="F348" s="2"/>
      <c r="G348" s="3"/>
    </row>
    <row r="349" spans="6:7" x14ac:dyDescent="0.25">
      <c r="F349" s="2"/>
      <c r="G349" s="3"/>
    </row>
    <row r="350" spans="6:7" x14ac:dyDescent="0.25">
      <c r="F350" s="2"/>
      <c r="G350" s="3"/>
    </row>
    <row r="351" spans="6:7" x14ac:dyDescent="0.25">
      <c r="F351" s="2"/>
      <c r="G351" s="3"/>
    </row>
    <row r="352" spans="6:7" x14ac:dyDescent="0.25">
      <c r="F352" s="2"/>
      <c r="G352" s="3"/>
    </row>
    <row r="353" spans="6:7" x14ac:dyDescent="0.25">
      <c r="F353" s="2"/>
      <c r="G353" s="3"/>
    </row>
    <row r="354" spans="6:7" x14ac:dyDescent="0.25">
      <c r="F354" s="2"/>
      <c r="G354" s="3"/>
    </row>
    <row r="355" spans="6:7" x14ac:dyDescent="0.25">
      <c r="F355" s="2"/>
      <c r="G355" s="3"/>
    </row>
    <row r="356" spans="6:7" x14ac:dyDescent="0.25">
      <c r="F356" s="2"/>
      <c r="G356" s="3"/>
    </row>
    <row r="357" spans="6:7" x14ac:dyDescent="0.25">
      <c r="F357" s="2"/>
      <c r="G357" s="3"/>
    </row>
    <row r="358" spans="6:7" x14ac:dyDescent="0.25">
      <c r="F358" s="2"/>
      <c r="G358" s="3"/>
    </row>
    <row r="359" spans="6:7" x14ac:dyDescent="0.25">
      <c r="F359" s="2"/>
      <c r="G359" s="3"/>
    </row>
    <row r="360" spans="6:7" x14ac:dyDescent="0.25">
      <c r="F360" s="2"/>
      <c r="G360" s="3"/>
    </row>
    <row r="361" spans="6:7" x14ac:dyDescent="0.25">
      <c r="F361" s="2"/>
      <c r="G361" s="3"/>
    </row>
    <row r="362" spans="6:7" x14ac:dyDescent="0.25">
      <c r="F362" s="2"/>
      <c r="G362" s="3"/>
    </row>
    <row r="363" spans="6:7" x14ac:dyDescent="0.25">
      <c r="F363" s="2"/>
      <c r="G363" s="3"/>
    </row>
    <row r="364" spans="6:7" x14ac:dyDescent="0.25">
      <c r="F364" s="2"/>
      <c r="G364" s="3"/>
    </row>
    <row r="365" spans="6:7" x14ac:dyDescent="0.25">
      <c r="F365" s="2"/>
      <c r="G365" s="3"/>
    </row>
    <row r="366" spans="6:7" x14ac:dyDescent="0.25">
      <c r="F366" s="2"/>
      <c r="G366" s="3"/>
    </row>
    <row r="367" spans="6:7" x14ac:dyDescent="0.25">
      <c r="F367" s="2"/>
      <c r="G367" s="3"/>
    </row>
    <row r="368" spans="6:7" x14ac:dyDescent="0.25">
      <c r="F368" s="2"/>
      <c r="G368" s="3"/>
    </row>
    <row r="369" spans="6:7" x14ac:dyDescent="0.25">
      <c r="F369" s="2"/>
      <c r="G369" s="3"/>
    </row>
    <row r="370" spans="6:7" x14ac:dyDescent="0.25">
      <c r="F370" s="2"/>
      <c r="G370" s="3"/>
    </row>
    <row r="371" spans="6:7" x14ac:dyDescent="0.25">
      <c r="F371" s="2"/>
      <c r="G371" s="3"/>
    </row>
    <row r="372" spans="6:7" x14ac:dyDescent="0.25">
      <c r="F372" s="2"/>
      <c r="G372" s="3"/>
    </row>
    <row r="373" spans="6:7" x14ac:dyDescent="0.25">
      <c r="F373" s="2"/>
      <c r="G373" s="3"/>
    </row>
    <row r="374" spans="6:7" x14ac:dyDescent="0.25">
      <c r="F374" s="2"/>
      <c r="G374" s="3"/>
    </row>
    <row r="375" spans="6:7" x14ac:dyDescent="0.25">
      <c r="F375" s="2"/>
      <c r="G375" s="3"/>
    </row>
    <row r="376" spans="6:7" x14ac:dyDescent="0.25">
      <c r="F376" s="2"/>
      <c r="G376" s="3"/>
    </row>
    <row r="377" spans="6:7" x14ac:dyDescent="0.25">
      <c r="F377" s="2"/>
      <c r="G377" s="3"/>
    </row>
    <row r="378" spans="6:7" x14ac:dyDescent="0.25">
      <c r="F378" s="2"/>
      <c r="G378" s="3"/>
    </row>
    <row r="379" spans="6:7" x14ac:dyDescent="0.25">
      <c r="F379" s="2"/>
      <c r="G379" s="3"/>
    </row>
    <row r="380" spans="6:7" x14ac:dyDescent="0.25">
      <c r="F380" s="2"/>
      <c r="G380" s="3"/>
    </row>
    <row r="381" spans="6:7" x14ac:dyDescent="0.25">
      <c r="F381" s="2"/>
      <c r="G381" s="3"/>
    </row>
    <row r="382" spans="6:7" x14ac:dyDescent="0.25">
      <c r="F382" s="2"/>
      <c r="G382" s="3"/>
    </row>
    <row r="383" spans="6:7" x14ac:dyDescent="0.25">
      <c r="F383" s="2"/>
      <c r="G383" s="3"/>
    </row>
    <row r="384" spans="6:7" x14ac:dyDescent="0.25">
      <c r="F384" s="2"/>
      <c r="G384" s="3"/>
    </row>
    <row r="385" spans="6:7" x14ac:dyDescent="0.25">
      <c r="F385" s="2"/>
      <c r="G385" s="3"/>
    </row>
    <row r="386" spans="6:7" x14ac:dyDescent="0.25">
      <c r="F386" s="2"/>
      <c r="G386" s="3"/>
    </row>
    <row r="387" spans="6:7" x14ac:dyDescent="0.25">
      <c r="F387" s="2"/>
      <c r="G387" s="3"/>
    </row>
    <row r="388" spans="6:7" x14ac:dyDescent="0.25">
      <c r="F388" s="2"/>
      <c r="G388" s="3"/>
    </row>
    <row r="389" spans="6:7" x14ac:dyDescent="0.25">
      <c r="F389" s="2"/>
      <c r="G389" s="3"/>
    </row>
    <row r="390" spans="6:7" x14ac:dyDescent="0.25">
      <c r="F390" s="2"/>
      <c r="G390" s="3"/>
    </row>
    <row r="391" spans="6:7" x14ac:dyDescent="0.25">
      <c r="F391" s="2"/>
      <c r="G391" s="3"/>
    </row>
    <row r="392" spans="6:7" x14ac:dyDescent="0.25">
      <c r="F392" s="2"/>
      <c r="G392" s="3"/>
    </row>
    <row r="393" spans="6:7" x14ac:dyDescent="0.25">
      <c r="F393" s="2"/>
      <c r="G393" s="3"/>
    </row>
    <row r="394" spans="6:7" x14ac:dyDescent="0.25">
      <c r="F394" s="2"/>
      <c r="G394" s="3"/>
    </row>
    <row r="395" spans="6:7" x14ac:dyDescent="0.25">
      <c r="F395" s="2"/>
      <c r="G395" s="3"/>
    </row>
    <row r="396" spans="6:7" x14ac:dyDescent="0.25">
      <c r="F396" s="2"/>
      <c r="G396" s="3"/>
    </row>
    <row r="397" spans="6:7" x14ac:dyDescent="0.25">
      <c r="F397" s="2"/>
      <c r="G397" s="3"/>
    </row>
    <row r="398" spans="6:7" x14ac:dyDescent="0.25">
      <c r="F398" s="2"/>
      <c r="G398" s="3"/>
    </row>
    <row r="399" spans="6:7" x14ac:dyDescent="0.25">
      <c r="F399" s="2"/>
      <c r="G399" s="3"/>
    </row>
    <row r="400" spans="6:7" x14ac:dyDescent="0.25">
      <c r="F400" s="2"/>
      <c r="G400" s="3"/>
    </row>
    <row r="401" spans="6:7" x14ac:dyDescent="0.25">
      <c r="F401" s="2"/>
      <c r="G401" s="3"/>
    </row>
    <row r="402" spans="6:7" x14ac:dyDescent="0.25">
      <c r="F402" s="2"/>
      <c r="G402" s="3"/>
    </row>
    <row r="403" spans="6:7" x14ac:dyDescent="0.25">
      <c r="F403" s="2"/>
      <c r="G403" s="3"/>
    </row>
    <row r="404" spans="6:7" x14ac:dyDescent="0.25">
      <c r="F404" s="2"/>
      <c r="G404" s="3"/>
    </row>
    <row r="405" spans="6:7" x14ac:dyDescent="0.25">
      <c r="F405" s="2"/>
      <c r="G405" s="3"/>
    </row>
    <row r="406" spans="6:7" x14ac:dyDescent="0.25">
      <c r="F406" s="2"/>
      <c r="G406" s="3"/>
    </row>
    <row r="407" spans="6:7" x14ac:dyDescent="0.25">
      <c r="F407" s="2"/>
      <c r="G407" s="3"/>
    </row>
    <row r="408" spans="6:7" x14ac:dyDescent="0.25">
      <c r="F408" s="2"/>
      <c r="G408" s="3"/>
    </row>
    <row r="409" spans="6:7" x14ac:dyDescent="0.25">
      <c r="F409" s="2"/>
      <c r="G409" s="3"/>
    </row>
    <row r="410" spans="6:7" x14ac:dyDescent="0.25">
      <c r="F410" s="2"/>
      <c r="G410" s="3"/>
    </row>
    <row r="411" spans="6:7" x14ac:dyDescent="0.25">
      <c r="F411" s="2"/>
      <c r="G411" s="3"/>
    </row>
    <row r="412" spans="6:7" x14ac:dyDescent="0.25">
      <c r="F412" s="2"/>
      <c r="G412" s="3"/>
    </row>
    <row r="413" spans="6:7" x14ac:dyDescent="0.25">
      <c r="F413" s="2"/>
      <c r="G413" s="3"/>
    </row>
    <row r="414" spans="6:7" x14ac:dyDescent="0.25">
      <c r="F414" s="2"/>
      <c r="G414" s="3"/>
    </row>
    <row r="415" spans="6:7" x14ac:dyDescent="0.25">
      <c r="F415" s="2"/>
      <c r="G415" s="3"/>
    </row>
    <row r="416" spans="6:7" x14ac:dyDescent="0.25">
      <c r="F416" s="2"/>
      <c r="G416" s="3"/>
    </row>
    <row r="417" spans="6:7" x14ac:dyDescent="0.25">
      <c r="F417" s="2"/>
      <c r="G417" s="3"/>
    </row>
    <row r="418" spans="6:7" x14ac:dyDescent="0.25">
      <c r="F418" s="2"/>
      <c r="G418" s="3"/>
    </row>
    <row r="419" spans="6:7" x14ac:dyDescent="0.25">
      <c r="F419" s="2"/>
      <c r="G419" s="3"/>
    </row>
    <row r="420" spans="6:7" x14ac:dyDescent="0.25">
      <c r="F420" s="2"/>
      <c r="G420" s="3"/>
    </row>
    <row r="421" spans="6:7" x14ac:dyDescent="0.25">
      <c r="F421" s="2"/>
      <c r="G421" s="3"/>
    </row>
    <row r="422" spans="6:7" x14ac:dyDescent="0.25">
      <c r="F422" s="2"/>
      <c r="G422" s="3"/>
    </row>
    <row r="423" spans="6:7" x14ac:dyDescent="0.25">
      <c r="F423" s="2"/>
      <c r="G423" s="3"/>
    </row>
    <row r="424" spans="6:7" x14ac:dyDescent="0.25">
      <c r="F424" s="2"/>
      <c r="G424" s="3"/>
    </row>
    <row r="425" spans="6:7" x14ac:dyDescent="0.25">
      <c r="F425" s="2"/>
      <c r="G425" s="3"/>
    </row>
    <row r="426" spans="6:7" x14ac:dyDescent="0.25">
      <c r="F426" s="2"/>
      <c r="G426" s="3"/>
    </row>
    <row r="427" spans="6:7" x14ac:dyDescent="0.25">
      <c r="F427" s="2"/>
      <c r="G427" s="3"/>
    </row>
    <row r="428" spans="6:7" x14ac:dyDescent="0.25">
      <c r="F428" s="2"/>
      <c r="G428" s="3"/>
    </row>
    <row r="429" spans="6:7" x14ac:dyDescent="0.25">
      <c r="F429" s="2"/>
      <c r="G429" s="3"/>
    </row>
    <row r="430" spans="6:7" x14ac:dyDescent="0.25">
      <c r="F430" s="2"/>
      <c r="G430" s="3"/>
    </row>
    <row r="431" spans="6:7" x14ac:dyDescent="0.25">
      <c r="F431" s="2"/>
      <c r="G431" s="3"/>
    </row>
    <row r="432" spans="6:7" x14ac:dyDescent="0.25">
      <c r="F432" s="2"/>
      <c r="G432" s="3"/>
    </row>
    <row r="433" spans="6:7" x14ac:dyDescent="0.25">
      <c r="F433" s="2"/>
      <c r="G433" s="3"/>
    </row>
    <row r="434" spans="6:7" x14ac:dyDescent="0.25">
      <c r="F434" s="2"/>
      <c r="G434" s="3"/>
    </row>
    <row r="435" spans="6:7" x14ac:dyDescent="0.25">
      <c r="F435" s="2"/>
      <c r="G435" s="3"/>
    </row>
    <row r="436" spans="6:7" x14ac:dyDescent="0.25">
      <c r="F436" s="2"/>
      <c r="G436" s="3"/>
    </row>
    <row r="437" spans="6:7" x14ac:dyDescent="0.25">
      <c r="F437" s="2"/>
      <c r="G437" s="3"/>
    </row>
    <row r="438" spans="6:7" x14ac:dyDescent="0.25">
      <c r="F438" s="2"/>
      <c r="G438" s="3"/>
    </row>
    <row r="439" spans="6:7" x14ac:dyDescent="0.25">
      <c r="F439" s="2"/>
      <c r="G439" s="3"/>
    </row>
    <row r="440" spans="6:7" x14ac:dyDescent="0.25">
      <c r="F440" s="2"/>
      <c r="G440" s="3"/>
    </row>
    <row r="441" spans="6:7" x14ac:dyDescent="0.25">
      <c r="F441" s="2"/>
      <c r="G441" s="3"/>
    </row>
    <row r="442" spans="6:7" x14ac:dyDescent="0.25">
      <c r="F442" s="2"/>
      <c r="G442" s="3"/>
    </row>
    <row r="443" spans="6:7" x14ac:dyDescent="0.25">
      <c r="F443" s="2"/>
      <c r="G443" s="3"/>
    </row>
    <row r="444" spans="6:7" x14ac:dyDescent="0.25">
      <c r="F444" s="2"/>
      <c r="G444" s="3"/>
    </row>
    <row r="445" spans="6:7" x14ac:dyDescent="0.25">
      <c r="F445" s="2"/>
      <c r="G445" s="3"/>
    </row>
    <row r="446" spans="6:7" x14ac:dyDescent="0.25">
      <c r="F446" s="2"/>
      <c r="G446" s="3"/>
    </row>
    <row r="447" spans="6:7" x14ac:dyDescent="0.25">
      <c r="F447" s="2"/>
      <c r="G447" s="3"/>
    </row>
    <row r="448" spans="6:7" x14ac:dyDescent="0.25">
      <c r="F448" s="2"/>
      <c r="G448" s="3"/>
    </row>
    <row r="449" spans="6:7" x14ac:dyDescent="0.25">
      <c r="F449" s="2"/>
      <c r="G449" s="3"/>
    </row>
    <row r="450" spans="6:7" x14ac:dyDescent="0.25">
      <c r="F450" s="2"/>
      <c r="G450" s="3"/>
    </row>
    <row r="451" spans="6:7" x14ac:dyDescent="0.25">
      <c r="F451" s="2"/>
      <c r="G451" s="3"/>
    </row>
    <row r="452" spans="6:7" x14ac:dyDescent="0.25">
      <c r="F452" s="2"/>
      <c r="G452" s="3"/>
    </row>
    <row r="453" spans="6:7" x14ac:dyDescent="0.25">
      <c r="F453" s="2"/>
      <c r="G453" s="3"/>
    </row>
    <row r="454" spans="6:7" x14ac:dyDescent="0.25">
      <c r="F454" s="2"/>
      <c r="G454" s="3"/>
    </row>
    <row r="455" spans="6:7" x14ac:dyDescent="0.25">
      <c r="F455" s="2"/>
      <c r="G455" s="3"/>
    </row>
    <row r="456" spans="6:7" x14ac:dyDescent="0.25">
      <c r="F456" s="2"/>
      <c r="G456" s="3"/>
    </row>
    <row r="457" spans="6:7" x14ac:dyDescent="0.25">
      <c r="F457" s="2"/>
      <c r="G457" s="3"/>
    </row>
    <row r="458" spans="6:7" x14ac:dyDescent="0.25">
      <c r="F458" s="2"/>
      <c r="G458" s="3"/>
    </row>
    <row r="459" spans="6:7" x14ac:dyDescent="0.25">
      <c r="F459" s="2"/>
      <c r="G459" s="3"/>
    </row>
    <row r="460" spans="6:7" x14ac:dyDescent="0.25">
      <c r="F460" s="2"/>
      <c r="G460" s="3"/>
    </row>
    <row r="461" spans="6:7" x14ac:dyDescent="0.25">
      <c r="F461" s="2"/>
      <c r="G461" s="3"/>
    </row>
    <row r="462" spans="6:7" x14ac:dyDescent="0.25">
      <c r="F462" s="2"/>
      <c r="G462" s="3"/>
    </row>
    <row r="463" spans="6:7" x14ac:dyDescent="0.25">
      <c r="F463" s="2"/>
      <c r="G463" s="3"/>
    </row>
    <row r="464" spans="6:7" x14ac:dyDescent="0.25">
      <c r="F464" s="2"/>
      <c r="G464" s="3"/>
    </row>
    <row r="465" spans="6:7" x14ac:dyDescent="0.25">
      <c r="F465" s="2"/>
      <c r="G465" s="3"/>
    </row>
    <row r="466" spans="6:7" x14ac:dyDescent="0.25">
      <c r="F466" s="2"/>
      <c r="G466" s="3"/>
    </row>
    <row r="467" spans="6:7" x14ac:dyDescent="0.25">
      <c r="F467" s="2"/>
      <c r="G467" s="3"/>
    </row>
    <row r="468" spans="6:7" x14ac:dyDescent="0.25">
      <c r="F468" s="2"/>
      <c r="G468" s="3"/>
    </row>
    <row r="469" spans="6:7" x14ac:dyDescent="0.25">
      <c r="F469" s="2"/>
      <c r="G469" s="3"/>
    </row>
    <row r="470" spans="6:7" x14ac:dyDescent="0.25">
      <c r="F470" s="2"/>
      <c r="G470" s="3"/>
    </row>
    <row r="471" spans="6:7" x14ac:dyDescent="0.25">
      <c r="F471" s="2"/>
      <c r="G471" s="3"/>
    </row>
    <row r="472" spans="6:7" x14ac:dyDescent="0.25">
      <c r="F472" s="2"/>
      <c r="G472" s="3"/>
    </row>
    <row r="473" spans="6:7" x14ac:dyDescent="0.25">
      <c r="F473" s="2"/>
      <c r="G473" s="3"/>
    </row>
    <row r="474" spans="6:7" x14ac:dyDescent="0.25">
      <c r="F474" s="2"/>
      <c r="G474" s="3"/>
    </row>
    <row r="475" spans="6:7" x14ac:dyDescent="0.25">
      <c r="F475" s="2"/>
      <c r="G475" s="3"/>
    </row>
    <row r="476" spans="6:7" x14ac:dyDescent="0.25">
      <c r="F476" s="2"/>
      <c r="G476" s="3"/>
    </row>
    <row r="477" spans="6:7" x14ac:dyDescent="0.25">
      <c r="F477" s="2"/>
      <c r="G477" s="3"/>
    </row>
    <row r="478" spans="6:7" x14ac:dyDescent="0.25">
      <c r="F478" s="2"/>
      <c r="G478" s="3"/>
    </row>
    <row r="479" spans="6:7" x14ac:dyDescent="0.25">
      <c r="F479" s="2"/>
      <c r="G479" s="3"/>
    </row>
    <row r="480" spans="6:7" x14ac:dyDescent="0.25">
      <c r="F480" s="2"/>
      <c r="G480" s="3"/>
    </row>
    <row r="481" spans="6:7" x14ac:dyDescent="0.25">
      <c r="F481" s="2"/>
      <c r="G481" s="3"/>
    </row>
    <row r="482" spans="6:7" x14ac:dyDescent="0.25">
      <c r="F482" s="2"/>
      <c r="G482" s="3"/>
    </row>
    <row r="483" spans="6:7" x14ac:dyDescent="0.25">
      <c r="F483" s="2"/>
      <c r="G483" s="3"/>
    </row>
    <row r="484" spans="6:7" x14ac:dyDescent="0.25">
      <c r="F484" s="2"/>
      <c r="G484" s="3"/>
    </row>
    <row r="485" spans="6:7" x14ac:dyDescent="0.25">
      <c r="F485" s="2"/>
      <c r="G485" s="3"/>
    </row>
    <row r="486" spans="6:7" x14ac:dyDescent="0.25">
      <c r="F486" s="2"/>
      <c r="G486" s="3"/>
    </row>
    <row r="487" spans="6:7" x14ac:dyDescent="0.25">
      <c r="F487" s="2"/>
      <c r="G487" s="3"/>
    </row>
    <row r="488" spans="6:7" x14ac:dyDescent="0.25">
      <c r="F488" s="2"/>
      <c r="G488" s="3"/>
    </row>
    <row r="489" spans="6:7" x14ac:dyDescent="0.25">
      <c r="F489" s="2"/>
      <c r="G489" s="3"/>
    </row>
    <row r="490" spans="6:7" x14ac:dyDescent="0.25">
      <c r="F490" s="2"/>
      <c r="G490" s="3"/>
    </row>
    <row r="491" spans="6:7" x14ac:dyDescent="0.25">
      <c r="F491" s="2"/>
      <c r="G491" s="3"/>
    </row>
    <row r="492" spans="6:7" x14ac:dyDescent="0.25">
      <c r="F492" s="2"/>
      <c r="G492" s="3"/>
    </row>
    <row r="493" spans="6:7" x14ac:dyDescent="0.25">
      <c r="F493" s="2"/>
      <c r="G493" s="3"/>
    </row>
    <row r="494" spans="6:7" x14ac:dyDescent="0.25">
      <c r="F494" s="2"/>
      <c r="G494" s="3"/>
    </row>
    <row r="495" spans="6:7" x14ac:dyDescent="0.25">
      <c r="F495" s="2"/>
      <c r="G495" s="3"/>
    </row>
    <row r="496" spans="6:7" x14ac:dyDescent="0.25">
      <c r="F496" s="2"/>
      <c r="G496" s="3"/>
    </row>
    <row r="497" spans="6:7" x14ac:dyDescent="0.25">
      <c r="F497" s="2"/>
      <c r="G497" s="3"/>
    </row>
    <row r="498" spans="6:7" x14ac:dyDescent="0.25">
      <c r="F498" s="2"/>
      <c r="G498" s="3"/>
    </row>
    <row r="499" spans="6:7" x14ac:dyDescent="0.25">
      <c r="F499" s="2"/>
      <c r="G499" s="3"/>
    </row>
    <row r="500" spans="6:7" x14ac:dyDescent="0.25">
      <c r="F500" s="2"/>
      <c r="G500" s="3"/>
    </row>
    <row r="501" spans="6:7" x14ac:dyDescent="0.25">
      <c r="F501" s="2"/>
      <c r="G501" s="3"/>
    </row>
    <row r="502" spans="6:7" x14ac:dyDescent="0.25">
      <c r="F502" s="2"/>
      <c r="G502" s="3"/>
    </row>
    <row r="503" spans="6:7" x14ac:dyDescent="0.25">
      <c r="F503" s="2"/>
      <c r="G503" s="3"/>
    </row>
    <row r="504" spans="6:7" x14ac:dyDescent="0.25">
      <c r="F504" s="2"/>
      <c r="G504" s="3"/>
    </row>
    <row r="505" spans="6:7" x14ac:dyDescent="0.25">
      <c r="F505" s="2"/>
      <c r="G505" s="3"/>
    </row>
    <row r="506" spans="6:7" x14ac:dyDescent="0.25">
      <c r="F506" s="2"/>
      <c r="G506" s="3"/>
    </row>
    <row r="507" spans="6:7" x14ac:dyDescent="0.25">
      <c r="F507" s="2"/>
      <c r="G507" s="3"/>
    </row>
    <row r="508" spans="6:7" x14ac:dyDescent="0.25">
      <c r="F508" s="2"/>
      <c r="G508" s="3"/>
    </row>
    <row r="509" spans="6:7" x14ac:dyDescent="0.25">
      <c r="F509" s="2"/>
      <c r="G509" s="3"/>
    </row>
    <row r="510" spans="6:7" x14ac:dyDescent="0.25">
      <c r="F510" s="2"/>
      <c r="G510" s="3"/>
    </row>
    <row r="511" spans="6:7" x14ac:dyDescent="0.25">
      <c r="F511" s="2"/>
      <c r="G511" s="3"/>
    </row>
    <row r="512" spans="6:7" x14ac:dyDescent="0.25">
      <c r="F512" s="2"/>
      <c r="G512" s="3"/>
    </row>
    <row r="513" spans="6:7" x14ac:dyDescent="0.25">
      <c r="F513" s="2"/>
      <c r="G513" s="3"/>
    </row>
    <row r="514" spans="6:7" x14ac:dyDescent="0.25">
      <c r="F514" s="2"/>
      <c r="G514" s="3"/>
    </row>
    <row r="515" spans="6:7" x14ac:dyDescent="0.25">
      <c r="F515" s="2"/>
      <c r="G515" s="3"/>
    </row>
    <row r="516" spans="6:7" x14ac:dyDescent="0.25">
      <c r="F516" s="2"/>
      <c r="G516" s="3"/>
    </row>
    <row r="517" spans="6:7" x14ac:dyDescent="0.25">
      <c r="F517" s="2"/>
      <c r="G517" s="3"/>
    </row>
    <row r="518" spans="6:7" x14ac:dyDescent="0.25">
      <c r="F518" s="2"/>
      <c r="G518" s="3"/>
    </row>
    <row r="519" spans="6:7" x14ac:dyDescent="0.25">
      <c r="F519" s="2"/>
      <c r="G519" s="3"/>
    </row>
    <row r="520" spans="6:7" x14ac:dyDescent="0.25">
      <c r="F520" s="2"/>
      <c r="G520" s="3"/>
    </row>
    <row r="521" spans="6:7" x14ac:dyDescent="0.25">
      <c r="F521" s="2"/>
      <c r="G521" s="3"/>
    </row>
    <row r="522" spans="6:7" x14ac:dyDescent="0.25">
      <c r="F522" s="2"/>
      <c r="G522" s="3"/>
    </row>
    <row r="523" spans="6:7" x14ac:dyDescent="0.25">
      <c r="F523" s="2"/>
      <c r="G523" s="3"/>
    </row>
    <row r="524" spans="6:7" x14ac:dyDescent="0.25">
      <c r="F524" s="2"/>
      <c r="G524" s="3"/>
    </row>
    <row r="525" spans="6:7" x14ac:dyDescent="0.25">
      <c r="F525" s="2"/>
      <c r="G525" s="3"/>
    </row>
    <row r="526" spans="6:7" x14ac:dyDescent="0.25">
      <c r="F526" s="2"/>
      <c r="G526" s="3"/>
    </row>
    <row r="527" spans="6:7" x14ac:dyDescent="0.25">
      <c r="F527" s="2"/>
      <c r="G527" s="3"/>
    </row>
    <row r="528" spans="6:7" x14ac:dyDescent="0.25">
      <c r="F528" s="2"/>
      <c r="G528" s="3"/>
    </row>
    <row r="529" spans="6:7" x14ac:dyDescent="0.25">
      <c r="F529" s="2"/>
      <c r="G529" s="3"/>
    </row>
    <row r="530" spans="6:7" x14ac:dyDescent="0.25">
      <c r="F530" s="2"/>
      <c r="G530" s="3"/>
    </row>
    <row r="531" spans="6:7" x14ac:dyDescent="0.25">
      <c r="F531" s="2"/>
      <c r="G531" s="3"/>
    </row>
    <row r="532" spans="6:7" x14ac:dyDescent="0.25">
      <c r="F532" s="2"/>
      <c r="G532" s="3"/>
    </row>
    <row r="533" spans="6:7" x14ac:dyDescent="0.25">
      <c r="F533" s="2"/>
      <c r="G533" s="3"/>
    </row>
    <row r="534" spans="6:7" x14ac:dyDescent="0.25">
      <c r="F534" s="2"/>
      <c r="G534" s="3"/>
    </row>
    <row r="535" spans="6:7" x14ac:dyDescent="0.25">
      <c r="F535" s="2"/>
      <c r="G535" s="3"/>
    </row>
    <row r="536" spans="6:7" x14ac:dyDescent="0.25">
      <c r="F536" s="2"/>
      <c r="G536" s="3"/>
    </row>
    <row r="537" spans="6:7" x14ac:dyDescent="0.25">
      <c r="F537" s="2"/>
      <c r="G537" s="3"/>
    </row>
    <row r="538" spans="6:7" x14ac:dyDescent="0.25">
      <c r="F538" s="2"/>
      <c r="G538" s="3"/>
    </row>
    <row r="539" spans="6:7" x14ac:dyDescent="0.25">
      <c r="F539" s="2"/>
      <c r="G539" s="3"/>
    </row>
    <row r="540" spans="6:7" x14ac:dyDescent="0.25">
      <c r="F540" s="2"/>
      <c r="G540" s="3"/>
    </row>
    <row r="541" spans="6:7" x14ac:dyDescent="0.25">
      <c r="F541" s="2"/>
      <c r="G541" s="3"/>
    </row>
    <row r="542" spans="6:7" x14ac:dyDescent="0.25">
      <c r="F542" s="2"/>
      <c r="G542" s="3"/>
    </row>
    <row r="543" spans="6:7" x14ac:dyDescent="0.25">
      <c r="F543" s="2"/>
      <c r="G543" s="3"/>
    </row>
    <row r="544" spans="6:7" x14ac:dyDescent="0.25">
      <c r="F544" s="2"/>
      <c r="G544" s="3"/>
    </row>
    <row r="545" spans="6:7" x14ac:dyDescent="0.25">
      <c r="F545" s="2"/>
      <c r="G545" s="3"/>
    </row>
    <row r="546" spans="6:7" x14ac:dyDescent="0.25">
      <c r="F546" s="2"/>
      <c r="G546" s="3"/>
    </row>
    <row r="547" spans="6:7" x14ac:dyDescent="0.25">
      <c r="F547" s="2"/>
      <c r="G547" s="3"/>
    </row>
    <row r="548" spans="6:7" x14ac:dyDescent="0.25">
      <c r="F548" s="2"/>
      <c r="G548" s="3"/>
    </row>
    <row r="549" spans="6:7" x14ac:dyDescent="0.25">
      <c r="F549" s="2"/>
      <c r="G549" s="3"/>
    </row>
    <row r="550" spans="6:7" x14ac:dyDescent="0.25">
      <c r="F550" s="2"/>
      <c r="G550" s="3"/>
    </row>
    <row r="551" spans="6:7" x14ac:dyDescent="0.25">
      <c r="F551" s="2"/>
      <c r="G551" s="3"/>
    </row>
    <row r="552" spans="6:7" x14ac:dyDescent="0.25">
      <c r="F552" s="2"/>
      <c r="G552" s="3"/>
    </row>
    <row r="553" spans="6:7" x14ac:dyDescent="0.25">
      <c r="F553" s="2"/>
      <c r="G553" s="3"/>
    </row>
    <row r="554" spans="6:7" x14ac:dyDescent="0.25">
      <c r="F554" s="2"/>
      <c r="G554" s="3"/>
    </row>
    <row r="555" spans="6:7" x14ac:dyDescent="0.25">
      <c r="F555" s="2"/>
      <c r="G555" s="3"/>
    </row>
    <row r="556" spans="6:7" x14ac:dyDescent="0.25">
      <c r="F556" s="2"/>
      <c r="G556" s="3"/>
    </row>
    <row r="557" spans="6:7" x14ac:dyDescent="0.25">
      <c r="F557" s="2"/>
      <c r="G557" s="3"/>
    </row>
    <row r="558" spans="6:7" x14ac:dyDescent="0.25">
      <c r="F558" s="2"/>
      <c r="G558" s="3"/>
    </row>
    <row r="559" spans="6:7" x14ac:dyDescent="0.25">
      <c r="F559" s="2"/>
      <c r="G559" s="3"/>
    </row>
    <row r="560" spans="6:7" x14ac:dyDescent="0.25">
      <c r="F560" s="2"/>
      <c r="G560" s="3"/>
    </row>
    <row r="561" spans="6:7" x14ac:dyDescent="0.25">
      <c r="F561" s="2"/>
      <c r="G561" s="3"/>
    </row>
    <row r="562" spans="6:7" x14ac:dyDescent="0.25">
      <c r="F562" s="2"/>
      <c r="G562" s="3"/>
    </row>
    <row r="563" spans="6:7" x14ac:dyDescent="0.25">
      <c r="F563" s="2"/>
      <c r="G563" s="3"/>
    </row>
    <row r="564" spans="6:7" x14ac:dyDescent="0.25">
      <c r="F564" s="2"/>
      <c r="G564" s="3"/>
    </row>
    <row r="565" spans="6:7" x14ac:dyDescent="0.25">
      <c r="F565" s="2"/>
      <c r="G565" s="3"/>
    </row>
    <row r="566" spans="6:7" x14ac:dyDescent="0.25">
      <c r="F566" s="2"/>
      <c r="G566" s="3"/>
    </row>
    <row r="567" spans="6:7" x14ac:dyDescent="0.25">
      <c r="F567" s="2"/>
      <c r="G567" s="3"/>
    </row>
    <row r="568" spans="6:7" x14ac:dyDescent="0.25">
      <c r="F568" s="2"/>
      <c r="G568" s="3"/>
    </row>
    <row r="569" spans="6:7" x14ac:dyDescent="0.25">
      <c r="F569" s="2"/>
      <c r="G569" s="3"/>
    </row>
    <row r="570" spans="6:7" x14ac:dyDescent="0.25">
      <c r="F570" s="2"/>
      <c r="G570" s="3"/>
    </row>
    <row r="571" spans="6:7" x14ac:dyDescent="0.25">
      <c r="F571" s="2"/>
      <c r="G571" s="3"/>
    </row>
    <row r="572" spans="6:7" x14ac:dyDescent="0.25">
      <c r="F572" s="2"/>
      <c r="G572" s="3"/>
    </row>
    <row r="573" spans="6:7" x14ac:dyDescent="0.25">
      <c r="F573" s="2"/>
      <c r="G573" s="3"/>
    </row>
    <row r="574" spans="6:7" x14ac:dyDescent="0.25">
      <c r="F574" s="2"/>
      <c r="G574" s="3"/>
    </row>
    <row r="575" spans="6:7" x14ac:dyDescent="0.25">
      <c r="F575" s="2"/>
      <c r="G575" s="3"/>
    </row>
    <row r="576" spans="6:7" x14ac:dyDescent="0.25">
      <c r="F576" s="2"/>
      <c r="G576" s="3"/>
    </row>
    <row r="577" spans="6:7" x14ac:dyDescent="0.25">
      <c r="F577" s="2"/>
      <c r="G577" s="3"/>
    </row>
    <row r="578" spans="6:7" x14ac:dyDescent="0.25">
      <c r="F578" s="2"/>
      <c r="G578" s="3"/>
    </row>
    <row r="579" spans="6:7" x14ac:dyDescent="0.25">
      <c r="F579" s="2"/>
      <c r="G579" s="3"/>
    </row>
    <row r="580" spans="6:7" x14ac:dyDescent="0.25">
      <c r="F580" s="2"/>
      <c r="G580" s="3"/>
    </row>
    <row r="581" spans="6:7" x14ac:dyDescent="0.25">
      <c r="F581" s="2"/>
      <c r="G581" s="3"/>
    </row>
    <row r="582" spans="6:7" x14ac:dyDescent="0.25">
      <c r="F582" s="2"/>
      <c r="G582" s="3"/>
    </row>
    <row r="583" spans="6:7" x14ac:dyDescent="0.25">
      <c r="F583" s="2"/>
      <c r="G583" s="3"/>
    </row>
    <row r="584" spans="6:7" x14ac:dyDescent="0.25">
      <c r="F584" s="2"/>
      <c r="G584" s="3"/>
    </row>
    <row r="585" spans="6:7" x14ac:dyDescent="0.25">
      <c r="F585" s="2"/>
      <c r="G585" s="3"/>
    </row>
    <row r="586" spans="6:7" x14ac:dyDescent="0.25">
      <c r="F586" s="2"/>
      <c r="G586" s="3"/>
    </row>
    <row r="587" spans="6:7" x14ac:dyDescent="0.25">
      <c r="F587" s="2"/>
      <c r="G587" s="3"/>
    </row>
    <row r="588" spans="6:7" x14ac:dyDescent="0.25">
      <c r="F588" s="2"/>
      <c r="G588" s="3"/>
    </row>
    <row r="589" spans="6:7" x14ac:dyDescent="0.25">
      <c r="F589" s="2"/>
      <c r="G589" s="3"/>
    </row>
    <row r="590" spans="6:7" x14ac:dyDescent="0.25">
      <c r="F590" s="2"/>
      <c r="G590" s="3"/>
    </row>
    <row r="591" spans="6:7" x14ac:dyDescent="0.25">
      <c r="F591" s="2"/>
      <c r="G591" s="3"/>
    </row>
    <row r="592" spans="6:7" x14ac:dyDescent="0.25">
      <c r="F592" s="2"/>
      <c r="G592" s="3"/>
    </row>
    <row r="593" spans="6:7" x14ac:dyDescent="0.25">
      <c r="F593" s="2"/>
      <c r="G593" s="3"/>
    </row>
    <row r="594" spans="6:7" x14ac:dyDescent="0.25">
      <c r="F594" s="2"/>
      <c r="G594" s="3"/>
    </row>
    <row r="595" spans="6:7" x14ac:dyDescent="0.25">
      <c r="F595" s="2"/>
      <c r="G595" s="3"/>
    </row>
    <row r="596" spans="6:7" x14ac:dyDescent="0.25">
      <c r="F596" s="2"/>
      <c r="G596" s="3"/>
    </row>
    <row r="597" spans="6:7" x14ac:dyDescent="0.25">
      <c r="F597" s="2"/>
      <c r="G597" s="3"/>
    </row>
    <row r="598" spans="6:7" x14ac:dyDescent="0.25">
      <c r="F598" s="2"/>
      <c r="G598" s="3"/>
    </row>
    <row r="599" spans="6:7" x14ac:dyDescent="0.25">
      <c r="F599" s="2"/>
      <c r="G599" s="3"/>
    </row>
    <row r="600" spans="6:7" x14ac:dyDescent="0.25">
      <c r="F600" s="2"/>
      <c r="G600" s="3"/>
    </row>
    <row r="601" spans="6:7" x14ac:dyDescent="0.25">
      <c r="F601" s="2"/>
      <c r="G601" s="3"/>
    </row>
    <row r="602" spans="6:7" x14ac:dyDescent="0.25">
      <c r="F602" s="2"/>
      <c r="G602" s="3"/>
    </row>
    <row r="603" spans="6:7" x14ac:dyDescent="0.25">
      <c r="F603" s="2"/>
      <c r="G603" s="3"/>
    </row>
    <row r="604" spans="6:7" x14ac:dyDescent="0.25">
      <c r="F604" s="2"/>
      <c r="G604" s="3"/>
    </row>
    <row r="605" spans="6:7" x14ac:dyDescent="0.25">
      <c r="F605" s="2"/>
      <c r="G605" s="3"/>
    </row>
    <row r="606" spans="6:7" x14ac:dyDescent="0.25">
      <c r="F606" s="2"/>
      <c r="G606" s="3"/>
    </row>
    <row r="607" spans="6:7" x14ac:dyDescent="0.25">
      <c r="F607" s="2"/>
      <c r="G607" s="3"/>
    </row>
    <row r="608" spans="6:7" x14ac:dyDescent="0.25">
      <c r="F608" s="2"/>
      <c r="G608" s="3"/>
    </row>
    <row r="609" spans="6:7" x14ac:dyDescent="0.25">
      <c r="F609" s="2"/>
      <c r="G609" s="3"/>
    </row>
    <row r="610" spans="6:7" x14ac:dyDescent="0.25">
      <c r="F610" s="2"/>
      <c r="G610" s="3"/>
    </row>
    <row r="611" spans="6:7" x14ac:dyDescent="0.25">
      <c r="F611" s="2"/>
      <c r="G611" s="3"/>
    </row>
    <row r="612" spans="6:7" x14ac:dyDescent="0.25">
      <c r="F612" s="2"/>
      <c r="G612" s="3"/>
    </row>
    <row r="613" spans="6:7" x14ac:dyDescent="0.25">
      <c r="F613" s="2"/>
      <c r="G613" s="3"/>
    </row>
    <row r="614" spans="6:7" x14ac:dyDescent="0.25">
      <c r="F614" s="2"/>
      <c r="G614" s="3"/>
    </row>
    <row r="615" spans="6:7" x14ac:dyDescent="0.25">
      <c r="F615" s="2"/>
      <c r="G615" s="3"/>
    </row>
    <row r="616" spans="6:7" x14ac:dyDescent="0.25">
      <c r="F616" s="2"/>
      <c r="G616" s="3"/>
    </row>
    <row r="617" spans="6:7" x14ac:dyDescent="0.25">
      <c r="F617" s="2"/>
      <c r="G617" s="3"/>
    </row>
    <row r="618" spans="6:7" x14ac:dyDescent="0.25">
      <c r="F618" s="2"/>
      <c r="G618" s="3"/>
    </row>
    <row r="619" spans="6:7" x14ac:dyDescent="0.25">
      <c r="F619" s="2"/>
      <c r="G619" s="3"/>
    </row>
    <row r="620" spans="6:7" x14ac:dyDescent="0.25">
      <c r="F620" s="2"/>
      <c r="G620" s="3"/>
    </row>
    <row r="621" spans="6:7" x14ac:dyDescent="0.25">
      <c r="F621" s="2"/>
      <c r="G621" s="3"/>
    </row>
    <row r="622" spans="6:7" x14ac:dyDescent="0.25">
      <c r="F622" s="2"/>
      <c r="G622" s="3"/>
    </row>
    <row r="623" spans="6:7" x14ac:dyDescent="0.25">
      <c r="F623" s="2"/>
      <c r="G623" s="3"/>
    </row>
    <row r="624" spans="6:7" x14ac:dyDescent="0.25">
      <c r="F624" s="2"/>
      <c r="G624" s="3"/>
    </row>
    <row r="625" spans="6:7" x14ac:dyDescent="0.25">
      <c r="F625" s="2"/>
      <c r="G625" s="3"/>
    </row>
    <row r="626" spans="6:7" x14ac:dyDescent="0.25">
      <c r="F626" s="2"/>
      <c r="G626" s="3"/>
    </row>
    <row r="627" spans="6:7" x14ac:dyDescent="0.25">
      <c r="F627" s="2"/>
      <c r="G627" s="3"/>
    </row>
    <row r="628" spans="6:7" x14ac:dyDescent="0.25">
      <c r="F628" s="2"/>
      <c r="G628" s="3"/>
    </row>
    <row r="629" spans="6:7" x14ac:dyDescent="0.25">
      <c r="F629" s="2"/>
      <c r="G629" s="3"/>
    </row>
    <row r="630" spans="6:7" x14ac:dyDescent="0.25">
      <c r="F630" s="2"/>
      <c r="G630" s="3"/>
    </row>
    <row r="631" spans="6:7" x14ac:dyDescent="0.25">
      <c r="F631" s="2"/>
      <c r="G631" s="3"/>
    </row>
    <row r="632" spans="6:7" x14ac:dyDescent="0.25">
      <c r="F632" s="2"/>
      <c r="G632" s="3"/>
    </row>
    <row r="633" spans="6:7" x14ac:dyDescent="0.25">
      <c r="F633" s="2"/>
      <c r="G633" s="3"/>
    </row>
    <row r="634" spans="6:7" x14ac:dyDescent="0.25">
      <c r="F634" s="2"/>
      <c r="G634" s="3"/>
    </row>
    <row r="635" spans="6:7" x14ac:dyDescent="0.25">
      <c r="F635" s="2"/>
      <c r="G635" s="3"/>
    </row>
    <row r="636" spans="6:7" x14ac:dyDescent="0.25">
      <c r="F636" s="2"/>
      <c r="G636" s="3"/>
    </row>
    <row r="637" spans="6:7" x14ac:dyDescent="0.25">
      <c r="F637" s="2"/>
      <c r="G637" s="3"/>
    </row>
    <row r="638" spans="6:7" x14ac:dyDescent="0.25">
      <c r="F638" s="2"/>
      <c r="G638" s="3"/>
    </row>
    <row r="639" spans="6:7" x14ac:dyDescent="0.25">
      <c r="F639" s="2"/>
      <c r="G639" s="3"/>
    </row>
    <row r="640" spans="6:7" x14ac:dyDescent="0.25">
      <c r="F640" s="2"/>
      <c r="G640" s="3"/>
    </row>
    <row r="641" spans="6:7" x14ac:dyDescent="0.25">
      <c r="F641" s="2"/>
      <c r="G641" s="3"/>
    </row>
    <row r="642" spans="6:7" x14ac:dyDescent="0.25">
      <c r="F642" s="2"/>
      <c r="G642" s="3"/>
    </row>
    <row r="643" spans="6:7" x14ac:dyDescent="0.25">
      <c r="F643" s="2"/>
      <c r="G643" s="3"/>
    </row>
    <row r="644" spans="6:7" x14ac:dyDescent="0.25">
      <c r="F644" s="2"/>
      <c r="G644" s="3"/>
    </row>
    <row r="645" spans="6:7" x14ac:dyDescent="0.25">
      <c r="F645" s="2"/>
      <c r="G645" s="3"/>
    </row>
    <row r="646" spans="6:7" x14ac:dyDescent="0.25">
      <c r="F646" s="2"/>
      <c r="G646" s="3"/>
    </row>
    <row r="647" spans="6:7" x14ac:dyDescent="0.25">
      <c r="F647" s="2"/>
      <c r="G647" s="3"/>
    </row>
    <row r="648" spans="6:7" x14ac:dyDescent="0.25">
      <c r="F648" s="2"/>
      <c r="G648" s="3"/>
    </row>
    <row r="649" spans="6:7" x14ac:dyDescent="0.25">
      <c r="F649" s="2"/>
      <c r="G649" s="3"/>
    </row>
    <row r="650" spans="6:7" x14ac:dyDescent="0.25">
      <c r="F650" s="2"/>
      <c r="G650" s="3"/>
    </row>
    <row r="651" spans="6:7" x14ac:dyDescent="0.25">
      <c r="F651" s="2"/>
      <c r="G651" s="3"/>
    </row>
    <row r="652" spans="6:7" x14ac:dyDescent="0.25">
      <c r="F652" s="2"/>
      <c r="G652" s="3"/>
    </row>
    <row r="653" spans="6:7" x14ac:dyDescent="0.25">
      <c r="F653" s="2"/>
      <c r="G653" s="3"/>
    </row>
    <row r="654" spans="6:7" x14ac:dyDescent="0.25">
      <c r="F654" s="2"/>
      <c r="G654" s="3"/>
    </row>
    <row r="655" spans="6:7" x14ac:dyDescent="0.25">
      <c r="F655" s="2"/>
      <c r="G655" s="3"/>
    </row>
    <row r="656" spans="6:7" x14ac:dyDescent="0.25">
      <c r="F656" s="2"/>
      <c r="G656" s="3"/>
    </row>
    <row r="657" spans="6:7" x14ac:dyDescent="0.25">
      <c r="F657" s="2"/>
      <c r="G657" s="3"/>
    </row>
    <row r="658" spans="6:7" x14ac:dyDescent="0.25">
      <c r="F658" s="2"/>
      <c r="G658" s="3"/>
    </row>
  </sheetData>
  <mergeCells count="2">
    <mergeCell ref="C1:G1"/>
    <mergeCell ref="V3:W3"/>
  </mergeCells>
  <pageMargins left="0.7" right="0.7" top="0.75" bottom="0.75" header="0.3" footer="0.3"/>
  <pageSetup orientation="portrait"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18DCF-7052-4D2E-B6C3-524C461090BB}">
  <sheetPr>
    <tabColor theme="7"/>
  </sheetPr>
  <dimension ref="A1:R14"/>
  <sheetViews>
    <sheetView workbookViewId="0">
      <selection activeCell="L5" sqref="L5"/>
    </sheetView>
  </sheetViews>
  <sheetFormatPr defaultRowHeight="15" x14ac:dyDescent="0.25"/>
  <cols>
    <col min="1" max="1" width="1.7109375" customWidth="1"/>
  </cols>
  <sheetData>
    <row r="1" spans="1:18" s="1" customFormat="1" ht="52.5" customHeight="1" x14ac:dyDescent="0.25">
      <c r="A1" s="10"/>
      <c r="B1" s="64" t="s">
        <v>94</v>
      </c>
      <c r="C1" s="64"/>
      <c r="D1" s="64"/>
      <c r="E1" s="64"/>
      <c r="F1" s="64"/>
      <c r="G1" s="64"/>
      <c r="H1" s="64"/>
      <c r="I1" s="64"/>
      <c r="J1" s="64"/>
      <c r="K1" s="64"/>
      <c r="L1" s="11"/>
      <c r="M1" s="11"/>
      <c r="N1" s="11"/>
      <c r="O1" s="11"/>
      <c r="P1" s="11"/>
      <c r="Q1" s="11"/>
      <c r="R1" s="11"/>
    </row>
    <row r="4" spans="1:18" ht="15.75" x14ac:dyDescent="0.25">
      <c r="C4" s="65" t="s">
        <v>42</v>
      </c>
      <c r="D4" s="65"/>
      <c r="E4" s="65"/>
      <c r="F4" s="65"/>
      <c r="G4" s="65"/>
      <c r="H4" s="65"/>
      <c r="I4" s="65"/>
    </row>
    <row r="5" spans="1:18" ht="15.75" x14ac:dyDescent="0.25">
      <c r="C5" s="59">
        <v>1</v>
      </c>
      <c r="D5" s="60" t="s">
        <v>43</v>
      </c>
      <c r="E5" s="61"/>
      <c r="F5" s="60"/>
      <c r="G5" s="61"/>
      <c r="H5" s="60"/>
      <c r="I5" s="61"/>
    </row>
    <row r="6" spans="1:18" ht="15.75" x14ac:dyDescent="0.25">
      <c r="C6" s="59">
        <v>2</v>
      </c>
      <c r="D6" s="60" t="s">
        <v>52</v>
      </c>
      <c r="E6" s="61"/>
      <c r="F6" s="60"/>
      <c r="G6" s="61"/>
      <c r="H6" s="60"/>
      <c r="I6" s="61"/>
    </row>
    <row r="7" spans="1:18" ht="15.75" x14ac:dyDescent="0.25">
      <c r="C7" s="59">
        <v>3</v>
      </c>
      <c r="D7" s="60" t="s">
        <v>44</v>
      </c>
      <c r="E7" s="61"/>
      <c r="F7" s="60"/>
      <c r="G7" s="61"/>
      <c r="H7" s="60"/>
      <c r="I7" s="61"/>
    </row>
    <row r="8" spans="1:18" ht="15.75" x14ac:dyDescent="0.25">
      <c r="C8" s="59">
        <v>4</v>
      </c>
      <c r="D8" s="60" t="s">
        <v>45</v>
      </c>
      <c r="E8" s="61"/>
      <c r="F8" s="60"/>
      <c r="G8" s="61"/>
      <c r="H8" s="60"/>
      <c r="I8" s="61"/>
    </row>
    <row r="9" spans="1:18" ht="15.75" x14ac:dyDescent="0.25">
      <c r="C9" s="59">
        <v>5</v>
      </c>
      <c r="D9" s="60" t="s">
        <v>53</v>
      </c>
      <c r="E9" s="61"/>
      <c r="F9" s="60"/>
      <c r="G9" s="61"/>
      <c r="H9" s="60"/>
      <c r="I9" s="61"/>
    </row>
    <row r="10" spans="1:18" ht="15.75" x14ac:dyDescent="0.25">
      <c r="C10" s="59">
        <v>6</v>
      </c>
      <c r="D10" s="60" t="s">
        <v>54</v>
      </c>
      <c r="E10" s="61"/>
      <c r="F10" s="60"/>
      <c r="G10" s="61"/>
      <c r="H10" s="60"/>
      <c r="I10" s="61"/>
    </row>
    <row r="11" spans="1:18" ht="15.75" x14ac:dyDescent="0.25">
      <c r="C11" s="59">
        <v>7</v>
      </c>
      <c r="D11" s="60" t="s">
        <v>48</v>
      </c>
      <c r="E11" s="61"/>
      <c r="F11" s="60"/>
      <c r="G11" s="61"/>
      <c r="H11" s="60"/>
      <c r="I11" s="61"/>
    </row>
    <row r="12" spans="1:18" ht="15.75" x14ac:dyDescent="0.25">
      <c r="C12" s="59">
        <v>8</v>
      </c>
      <c r="D12" s="60" t="s">
        <v>51</v>
      </c>
      <c r="E12" s="61"/>
      <c r="F12" s="60"/>
      <c r="G12" s="61"/>
      <c r="H12" s="60"/>
      <c r="I12" s="61"/>
    </row>
    <row r="13" spans="1:18" ht="15.75" x14ac:dyDescent="0.25">
      <c r="C13" s="59">
        <v>9</v>
      </c>
      <c r="D13" s="60" t="s">
        <v>46</v>
      </c>
      <c r="E13" s="61"/>
      <c r="F13" s="60"/>
      <c r="G13" s="61"/>
      <c r="H13" s="60"/>
      <c r="I13" s="61"/>
    </row>
    <row r="14" spans="1:18" ht="15.75" x14ac:dyDescent="0.25">
      <c r="C14" s="59">
        <v>10</v>
      </c>
      <c r="D14" s="60" t="s">
        <v>47</v>
      </c>
      <c r="E14" s="61"/>
      <c r="F14" s="60"/>
      <c r="G14" s="61"/>
      <c r="H14" s="60"/>
      <c r="I14" s="61"/>
    </row>
  </sheetData>
  <mergeCells count="2">
    <mergeCell ref="B1:K1"/>
    <mergeCell ref="C4:I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2D351-101F-42D3-9BE5-B23D620B0DE8}">
  <sheetPr>
    <tabColor rgb="FF002060"/>
  </sheetPr>
  <dimension ref="A1:V11"/>
  <sheetViews>
    <sheetView workbookViewId="0">
      <selection activeCell="G10" sqref="G10"/>
    </sheetView>
  </sheetViews>
  <sheetFormatPr defaultRowHeight="15" x14ac:dyDescent="0.25"/>
  <cols>
    <col min="1" max="1" width="1.7109375" customWidth="1"/>
    <col min="4" max="4" width="11.28515625" bestFit="1" customWidth="1"/>
  </cols>
  <sheetData>
    <row r="1" spans="1:22" s="9" customFormat="1" ht="52.5" customHeight="1" x14ac:dyDescent="0.25">
      <c r="A1" s="13"/>
      <c r="B1" s="66" t="s">
        <v>55</v>
      </c>
      <c r="C1" s="66"/>
      <c r="D1" s="66"/>
      <c r="E1" s="66"/>
      <c r="F1" s="66"/>
      <c r="G1" s="66"/>
      <c r="H1" s="14"/>
      <c r="I1" s="14"/>
      <c r="J1" s="14"/>
      <c r="K1" s="14"/>
      <c r="L1" s="14"/>
      <c r="M1" s="14"/>
      <c r="N1" s="14"/>
      <c r="O1" s="14"/>
      <c r="P1" s="14"/>
      <c r="Q1" s="14"/>
      <c r="R1" s="14"/>
      <c r="S1" s="14"/>
      <c r="T1" s="14"/>
      <c r="U1" s="14"/>
      <c r="V1" s="14"/>
    </row>
    <row r="3" spans="1:22" x14ac:dyDescent="0.25">
      <c r="C3" s="53"/>
      <c r="D3" s="54" t="s">
        <v>56</v>
      </c>
      <c r="E3" s="54" t="s">
        <v>49</v>
      </c>
    </row>
    <row r="4" spans="1:22" x14ac:dyDescent="0.25">
      <c r="C4" s="55" t="s">
        <v>57</v>
      </c>
      <c r="D4" s="49">
        <f>AVERAGE(data[Amount])</f>
        <v>4136.2299999999996</v>
      </c>
      <c r="E4" s="50">
        <f>AVERAGE(data[Units])</f>
        <v>152.19999999999999</v>
      </c>
    </row>
    <row r="5" spans="1:22" x14ac:dyDescent="0.25">
      <c r="C5" s="55" t="s">
        <v>58</v>
      </c>
      <c r="D5" s="49">
        <f>MEDIAN(data[Amount])</f>
        <v>3437</v>
      </c>
      <c r="E5" s="50">
        <f>MEDIAN(data[Units])</f>
        <v>124.5</v>
      </c>
    </row>
    <row r="6" spans="1:22" x14ac:dyDescent="0.25">
      <c r="C6" s="55" t="s">
        <v>59</v>
      </c>
      <c r="D6" s="49">
        <f>MIN(data[Amount])</f>
        <v>0</v>
      </c>
      <c r="E6" s="50">
        <f>MIN(data[Units])</f>
        <v>0</v>
      </c>
    </row>
    <row r="7" spans="1:22" x14ac:dyDescent="0.25">
      <c r="C7" s="55" t="s">
        <v>60</v>
      </c>
      <c r="D7" s="49">
        <f>MAX(data[Amount])</f>
        <v>16184</v>
      </c>
      <c r="E7" s="50">
        <f>MAX(data[Units])</f>
        <v>525</v>
      </c>
    </row>
    <row r="8" spans="1:22" x14ac:dyDescent="0.25">
      <c r="C8" s="55" t="s">
        <v>61</v>
      </c>
      <c r="D8" s="49">
        <f>D7-D6</f>
        <v>16184</v>
      </c>
      <c r="E8" s="50">
        <f>E7-E6</f>
        <v>525</v>
      </c>
    </row>
    <row r="9" spans="1:22" x14ac:dyDescent="0.25">
      <c r="C9" s="4"/>
      <c r="D9" s="8"/>
    </row>
    <row r="10" spans="1:22" x14ac:dyDescent="0.25">
      <c r="C10" s="55" t="s">
        <v>62</v>
      </c>
      <c r="D10" s="51">
        <f>_xlfn.PERCENTILE.EXC(data[Amount],0.25)</f>
        <v>1652</v>
      </c>
      <c r="E10" s="52">
        <f>_xlfn.PERCENTILE.EXC(data[Units],0.25)</f>
        <v>54</v>
      </c>
    </row>
    <row r="11" spans="1:22" x14ac:dyDescent="0.25">
      <c r="C11" s="55" t="s">
        <v>63</v>
      </c>
      <c r="D11" s="51">
        <f>_xlfn.PERCENTILE.EXC(data[Amount],0.75)</f>
        <v>6245.75</v>
      </c>
      <c r="E11" s="52">
        <f>_xlfn.PERCENTILE.EXC(data[Units],0.75)</f>
        <v>223.5</v>
      </c>
    </row>
  </sheetData>
  <mergeCells count="1">
    <mergeCell ref="B1:G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A5C4D-32AC-4416-9E35-5FB6EDAA7D47}">
  <sheetPr>
    <tabColor rgb="FF0070C0"/>
  </sheetPr>
  <dimension ref="A1:V303"/>
  <sheetViews>
    <sheetView zoomScaleNormal="100" workbookViewId="0">
      <selection activeCell="I7" sqref="I7"/>
    </sheetView>
  </sheetViews>
  <sheetFormatPr defaultRowHeight="15" x14ac:dyDescent="0.25"/>
  <cols>
    <col min="1" max="1" width="1.7109375" customWidth="1"/>
    <col min="3" max="3" width="16" bestFit="1" customWidth="1"/>
    <col min="4" max="4" width="12.5703125" bestFit="1" customWidth="1"/>
    <col min="5" max="5" width="21.85546875" bestFit="1" customWidth="1"/>
    <col min="6" max="6" width="16.5703125" customWidth="1"/>
    <col min="7" max="7" width="11.28515625" customWidth="1"/>
  </cols>
  <sheetData>
    <row r="1" spans="1:22" s="9" customFormat="1" ht="52.5" customHeight="1" x14ac:dyDescent="0.25">
      <c r="A1" s="13"/>
      <c r="B1" s="64" t="s">
        <v>93</v>
      </c>
      <c r="C1" s="64"/>
      <c r="D1" s="64"/>
      <c r="E1" s="64"/>
      <c r="F1" s="64"/>
      <c r="G1" s="64"/>
      <c r="H1" s="64"/>
      <c r="I1" s="64"/>
      <c r="J1" s="64"/>
      <c r="K1" s="64"/>
      <c r="L1" s="64"/>
      <c r="M1" s="64"/>
      <c r="N1" s="64"/>
      <c r="O1" s="64"/>
      <c r="P1" s="64"/>
      <c r="Q1" s="64"/>
      <c r="R1" s="64"/>
      <c r="S1" s="64"/>
      <c r="T1" s="64"/>
      <c r="U1" s="14"/>
      <c r="V1" s="14"/>
    </row>
    <row r="3" spans="1:22" x14ac:dyDescent="0.25">
      <c r="C3" s="56" t="s">
        <v>11</v>
      </c>
      <c r="D3" s="56" t="s">
        <v>12</v>
      </c>
      <c r="E3" s="56" t="s">
        <v>0</v>
      </c>
      <c r="F3" s="56" t="s">
        <v>1</v>
      </c>
      <c r="G3" s="56" t="s">
        <v>49</v>
      </c>
    </row>
    <row r="4" spans="1:22" x14ac:dyDescent="0.25">
      <c r="C4" t="s">
        <v>5</v>
      </c>
      <c r="D4" t="s">
        <v>36</v>
      </c>
      <c r="E4" t="s">
        <v>16</v>
      </c>
      <c r="F4" s="2">
        <v>16184</v>
      </c>
      <c r="G4" s="3">
        <v>39</v>
      </c>
    </row>
    <row r="5" spans="1:22" x14ac:dyDescent="0.25">
      <c r="C5" t="s">
        <v>5</v>
      </c>
      <c r="D5" t="s">
        <v>34</v>
      </c>
      <c r="E5" t="s">
        <v>20</v>
      </c>
      <c r="F5" s="2">
        <v>15610</v>
      </c>
      <c r="G5" s="3">
        <v>339</v>
      </c>
    </row>
    <row r="6" spans="1:22" x14ac:dyDescent="0.25">
      <c r="C6" t="s">
        <v>9</v>
      </c>
      <c r="D6" t="s">
        <v>34</v>
      </c>
      <c r="E6" t="s">
        <v>28</v>
      </c>
      <c r="F6" s="2">
        <v>14329</v>
      </c>
      <c r="G6" s="3">
        <v>150</v>
      </c>
    </row>
    <row r="7" spans="1:22" x14ac:dyDescent="0.25">
      <c r="C7" t="s">
        <v>5</v>
      </c>
      <c r="D7" t="s">
        <v>35</v>
      </c>
      <c r="E7" t="s">
        <v>15</v>
      </c>
      <c r="F7" s="2">
        <v>13391</v>
      </c>
      <c r="G7" s="3">
        <v>201</v>
      </c>
    </row>
    <row r="8" spans="1:22" x14ac:dyDescent="0.25">
      <c r="C8" t="s">
        <v>10</v>
      </c>
      <c r="D8" t="s">
        <v>39</v>
      </c>
      <c r="E8" t="s">
        <v>33</v>
      </c>
      <c r="F8" s="2">
        <v>12950</v>
      </c>
      <c r="G8" s="3">
        <v>30</v>
      </c>
    </row>
    <row r="9" spans="1:22" x14ac:dyDescent="0.25">
      <c r="C9" t="s">
        <v>40</v>
      </c>
      <c r="D9" t="s">
        <v>35</v>
      </c>
      <c r="E9" t="s">
        <v>32</v>
      </c>
      <c r="F9" s="2">
        <v>12348</v>
      </c>
      <c r="G9" s="3">
        <v>234</v>
      </c>
    </row>
    <row r="10" spans="1:22" x14ac:dyDescent="0.25">
      <c r="C10" t="s">
        <v>2</v>
      </c>
      <c r="D10" t="s">
        <v>37</v>
      </c>
      <c r="E10" t="s">
        <v>18</v>
      </c>
      <c r="F10" s="2">
        <v>11571</v>
      </c>
      <c r="G10" s="3">
        <v>138</v>
      </c>
    </row>
    <row r="11" spans="1:22" x14ac:dyDescent="0.25">
      <c r="C11" t="s">
        <v>9</v>
      </c>
      <c r="D11" t="s">
        <v>36</v>
      </c>
      <c r="E11" t="s">
        <v>27</v>
      </c>
      <c r="F11" s="2">
        <v>11522</v>
      </c>
      <c r="G11" s="3">
        <v>204</v>
      </c>
    </row>
    <row r="12" spans="1:22" x14ac:dyDescent="0.25">
      <c r="C12" t="s">
        <v>2</v>
      </c>
      <c r="D12" t="s">
        <v>36</v>
      </c>
      <c r="E12" t="s">
        <v>16</v>
      </c>
      <c r="F12" s="2">
        <v>11417</v>
      </c>
      <c r="G12" s="3">
        <v>21</v>
      </c>
    </row>
    <row r="13" spans="1:22" x14ac:dyDescent="0.25">
      <c r="C13" t="s">
        <v>41</v>
      </c>
      <c r="D13" t="s">
        <v>36</v>
      </c>
      <c r="E13" t="s">
        <v>13</v>
      </c>
      <c r="F13" s="2">
        <v>10311</v>
      </c>
      <c r="G13" s="3">
        <v>231</v>
      </c>
    </row>
    <row r="14" spans="1:22" x14ac:dyDescent="0.25">
      <c r="C14" t="s">
        <v>41</v>
      </c>
      <c r="D14" t="s">
        <v>36</v>
      </c>
      <c r="E14" t="s">
        <v>32</v>
      </c>
      <c r="F14" s="2">
        <v>10304</v>
      </c>
      <c r="G14" s="3">
        <v>84</v>
      </c>
    </row>
    <row r="15" spans="1:22" x14ac:dyDescent="0.25">
      <c r="C15" t="s">
        <v>7</v>
      </c>
      <c r="D15" t="s">
        <v>38</v>
      </c>
      <c r="E15" t="s">
        <v>30</v>
      </c>
      <c r="F15" s="2">
        <v>10129</v>
      </c>
      <c r="G15" s="3">
        <v>312</v>
      </c>
    </row>
    <row r="16" spans="1:22" x14ac:dyDescent="0.25">
      <c r="C16" t="s">
        <v>6</v>
      </c>
      <c r="D16" t="s">
        <v>36</v>
      </c>
      <c r="E16" t="s">
        <v>4</v>
      </c>
      <c r="F16" s="2">
        <v>10073</v>
      </c>
      <c r="G16" s="3">
        <v>120</v>
      </c>
    </row>
    <row r="17" spans="3:7" x14ac:dyDescent="0.25">
      <c r="C17" t="s">
        <v>2</v>
      </c>
      <c r="D17" t="s">
        <v>37</v>
      </c>
      <c r="E17" t="s">
        <v>17</v>
      </c>
      <c r="F17" s="2">
        <v>9926</v>
      </c>
      <c r="G17" s="3">
        <v>201</v>
      </c>
    </row>
    <row r="18" spans="3:7" x14ac:dyDescent="0.25">
      <c r="C18" t="s">
        <v>7</v>
      </c>
      <c r="D18" t="s">
        <v>37</v>
      </c>
      <c r="E18" t="s">
        <v>22</v>
      </c>
      <c r="F18" s="2">
        <v>9835</v>
      </c>
      <c r="G18" s="3">
        <v>207</v>
      </c>
    </row>
    <row r="19" spans="3:7" x14ac:dyDescent="0.25">
      <c r="C19" t="s">
        <v>40</v>
      </c>
      <c r="D19" t="s">
        <v>36</v>
      </c>
      <c r="E19" t="s">
        <v>33</v>
      </c>
      <c r="F19" s="2">
        <v>9772</v>
      </c>
      <c r="G19" s="3">
        <v>90</v>
      </c>
    </row>
    <row r="20" spans="3:7" x14ac:dyDescent="0.25">
      <c r="C20" t="s">
        <v>8</v>
      </c>
      <c r="D20" t="s">
        <v>37</v>
      </c>
      <c r="E20" t="s">
        <v>15</v>
      </c>
      <c r="F20" s="2">
        <v>9709</v>
      </c>
      <c r="G20" s="3">
        <v>30</v>
      </c>
    </row>
    <row r="21" spans="3:7" x14ac:dyDescent="0.25">
      <c r="C21" t="s">
        <v>8</v>
      </c>
      <c r="D21" t="s">
        <v>39</v>
      </c>
      <c r="E21" t="s">
        <v>18</v>
      </c>
      <c r="F21" s="2">
        <v>9660</v>
      </c>
      <c r="G21" s="3">
        <v>27</v>
      </c>
    </row>
    <row r="22" spans="3:7" x14ac:dyDescent="0.25">
      <c r="C22" t="s">
        <v>41</v>
      </c>
      <c r="D22" t="s">
        <v>36</v>
      </c>
      <c r="E22" t="s">
        <v>18</v>
      </c>
      <c r="F22" s="2">
        <v>9632</v>
      </c>
      <c r="G22" s="3">
        <v>288</v>
      </c>
    </row>
    <row r="23" spans="3:7" x14ac:dyDescent="0.25">
      <c r="C23" t="s">
        <v>9</v>
      </c>
      <c r="D23" t="s">
        <v>38</v>
      </c>
      <c r="E23" t="s">
        <v>33</v>
      </c>
      <c r="F23" s="2">
        <v>9506</v>
      </c>
      <c r="G23" s="3">
        <v>87</v>
      </c>
    </row>
    <row r="24" spans="3:7" x14ac:dyDescent="0.25">
      <c r="C24" t="s">
        <v>2</v>
      </c>
      <c r="D24" t="s">
        <v>39</v>
      </c>
      <c r="E24" t="s">
        <v>20</v>
      </c>
      <c r="F24" s="2">
        <v>9443</v>
      </c>
      <c r="G24" s="3">
        <v>162</v>
      </c>
    </row>
    <row r="25" spans="3:7" x14ac:dyDescent="0.25">
      <c r="C25" t="s">
        <v>3</v>
      </c>
      <c r="D25" t="s">
        <v>36</v>
      </c>
      <c r="E25" t="s">
        <v>16</v>
      </c>
      <c r="F25" s="2">
        <v>9198</v>
      </c>
      <c r="G25" s="3">
        <v>36</v>
      </c>
    </row>
    <row r="26" spans="3:7" x14ac:dyDescent="0.25">
      <c r="C26" t="s">
        <v>9</v>
      </c>
      <c r="D26" t="s">
        <v>36</v>
      </c>
      <c r="E26" t="s">
        <v>30</v>
      </c>
      <c r="F26" s="2">
        <v>9051</v>
      </c>
      <c r="G26" s="3">
        <v>57</v>
      </c>
    </row>
    <row r="27" spans="3:7" x14ac:dyDescent="0.25">
      <c r="C27" t="s">
        <v>40</v>
      </c>
      <c r="D27" t="s">
        <v>37</v>
      </c>
      <c r="E27" t="s">
        <v>29</v>
      </c>
      <c r="F27" s="2">
        <v>9002</v>
      </c>
      <c r="G27" s="3">
        <v>72</v>
      </c>
    </row>
    <row r="28" spans="3:7" x14ac:dyDescent="0.25">
      <c r="C28" t="s">
        <v>8</v>
      </c>
      <c r="D28" t="s">
        <v>39</v>
      </c>
      <c r="E28" t="s">
        <v>31</v>
      </c>
      <c r="F28" s="2">
        <v>8890</v>
      </c>
      <c r="G28" s="3">
        <v>210</v>
      </c>
    </row>
    <row r="29" spans="3:7" x14ac:dyDescent="0.25">
      <c r="C29" t="s">
        <v>40</v>
      </c>
      <c r="D29" t="s">
        <v>35</v>
      </c>
      <c r="E29" t="s">
        <v>33</v>
      </c>
      <c r="F29" s="2">
        <v>8869</v>
      </c>
      <c r="G29" s="3">
        <v>432</v>
      </c>
    </row>
    <row r="30" spans="3:7" x14ac:dyDescent="0.25">
      <c r="C30" t="s">
        <v>7</v>
      </c>
      <c r="D30" t="s">
        <v>34</v>
      </c>
      <c r="E30" t="s">
        <v>24</v>
      </c>
      <c r="F30" s="2">
        <v>8862</v>
      </c>
      <c r="G30" s="3">
        <v>189</v>
      </c>
    </row>
    <row r="31" spans="3:7" x14ac:dyDescent="0.25">
      <c r="C31" t="s">
        <v>3</v>
      </c>
      <c r="D31" t="s">
        <v>38</v>
      </c>
      <c r="E31" t="s">
        <v>26</v>
      </c>
      <c r="F31" s="2">
        <v>8841</v>
      </c>
      <c r="G31" s="3">
        <v>303</v>
      </c>
    </row>
    <row r="32" spans="3:7" x14ac:dyDescent="0.25">
      <c r="C32" t="s">
        <v>5</v>
      </c>
      <c r="D32" t="s">
        <v>37</v>
      </c>
      <c r="E32" t="s">
        <v>25</v>
      </c>
      <c r="F32" s="2">
        <v>8813</v>
      </c>
      <c r="G32" s="3">
        <v>21</v>
      </c>
    </row>
    <row r="33" spans="3:7" x14ac:dyDescent="0.25">
      <c r="C33" t="s">
        <v>9</v>
      </c>
      <c r="D33" t="s">
        <v>34</v>
      </c>
      <c r="E33" t="s">
        <v>20</v>
      </c>
      <c r="F33" s="2">
        <v>8463</v>
      </c>
      <c r="G33" s="3">
        <v>492</v>
      </c>
    </row>
    <row r="34" spans="3:7" x14ac:dyDescent="0.25">
      <c r="C34" t="s">
        <v>7</v>
      </c>
      <c r="D34" t="s">
        <v>36</v>
      </c>
      <c r="E34" t="s">
        <v>22</v>
      </c>
      <c r="F34" s="2">
        <v>8435</v>
      </c>
      <c r="G34" s="3">
        <v>42</v>
      </c>
    </row>
    <row r="35" spans="3:7" x14ac:dyDescent="0.25">
      <c r="C35" t="s">
        <v>2</v>
      </c>
      <c r="D35" t="s">
        <v>36</v>
      </c>
      <c r="E35" t="s">
        <v>29</v>
      </c>
      <c r="F35" s="2">
        <v>8211</v>
      </c>
      <c r="G35" s="3">
        <v>75</v>
      </c>
    </row>
    <row r="36" spans="3:7" x14ac:dyDescent="0.25">
      <c r="C36" t="s">
        <v>9</v>
      </c>
      <c r="D36" t="s">
        <v>34</v>
      </c>
      <c r="E36" t="s">
        <v>23</v>
      </c>
      <c r="F36" s="2">
        <v>8155</v>
      </c>
      <c r="G36" s="3">
        <v>90</v>
      </c>
    </row>
    <row r="37" spans="3:7" x14ac:dyDescent="0.25">
      <c r="C37" t="s">
        <v>6</v>
      </c>
      <c r="D37" t="s">
        <v>34</v>
      </c>
      <c r="E37" t="s">
        <v>26</v>
      </c>
      <c r="F37" s="2">
        <v>8008</v>
      </c>
      <c r="G37" s="3">
        <v>456</v>
      </c>
    </row>
    <row r="38" spans="3:7" x14ac:dyDescent="0.25">
      <c r="C38" t="s">
        <v>41</v>
      </c>
      <c r="D38" t="s">
        <v>34</v>
      </c>
      <c r="E38" t="s">
        <v>33</v>
      </c>
      <c r="F38" s="2">
        <v>7847</v>
      </c>
      <c r="G38" s="3">
        <v>174</v>
      </c>
    </row>
    <row r="39" spans="3:7" x14ac:dyDescent="0.25">
      <c r="C39" t="s">
        <v>9</v>
      </c>
      <c r="D39" t="s">
        <v>35</v>
      </c>
      <c r="E39" t="s">
        <v>15</v>
      </c>
      <c r="F39" s="2">
        <v>7833</v>
      </c>
      <c r="G39" s="3">
        <v>243</v>
      </c>
    </row>
    <row r="40" spans="3:7" x14ac:dyDescent="0.25">
      <c r="C40" t="s">
        <v>2</v>
      </c>
      <c r="D40" t="s">
        <v>39</v>
      </c>
      <c r="E40" t="s">
        <v>27</v>
      </c>
      <c r="F40" s="2">
        <v>7812</v>
      </c>
      <c r="G40" s="3">
        <v>81</v>
      </c>
    </row>
    <row r="41" spans="3:7" x14ac:dyDescent="0.25">
      <c r="C41" t="s">
        <v>3</v>
      </c>
      <c r="D41" t="s">
        <v>34</v>
      </c>
      <c r="E41" t="s">
        <v>32</v>
      </c>
      <c r="F41" s="2">
        <v>7777</v>
      </c>
      <c r="G41" s="3">
        <v>504</v>
      </c>
    </row>
    <row r="42" spans="3:7" x14ac:dyDescent="0.25">
      <c r="C42" t="s">
        <v>7</v>
      </c>
      <c r="D42" t="s">
        <v>34</v>
      </c>
      <c r="E42" t="s">
        <v>17</v>
      </c>
      <c r="F42" s="2">
        <v>7777</v>
      </c>
      <c r="G42" s="3">
        <v>39</v>
      </c>
    </row>
    <row r="43" spans="3:7" x14ac:dyDescent="0.25">
      <c r="C43" t="s">
        <v>6</v>
      </c>
      <c r="D43" t="s">
        <v>37</v>
      </c>
      <c r="E43" t="s">
        <v>31</v>
      </c>
      <c r="F43" s="2">
        <v>7693</v>
      </c>
      <c r="G43" s="3">
        <v>87</v>
      </c>
    </row>
    <row r="44" spans="3:7" x14ac:dyDescent="0.25">
      <c r="C44" t="s">
        <v>40</v>
      </c>
      <c r="D44" t="s">
        <v>37</v>
      </c>
      <c r="E44" t="s">
        <v>19</v>
      </c>
      <c r="F44" s="2">
        <v>7693</v>
      </c>
      <c r="G44" s="3">
        <v>21</v>
      </c>
    </row>
    <row r="45" spans="3:7" x14ac:dyDescent="0.25">
      <c r="C45" t="s">
        <v>2</v>
      </c>
      <c r="D45" t="s">
        <v>39</v>
      </c>
      <c r="E45" t="s">
        <v>21</v>
      </c>
      <c r="F45" s="2">
        <v>7651</v>
      </c>
      <c r="G45" s="3">
        <v>213</v>
      </c>
    </row>
    <row r="46" spans="3:7" x14ac:dyDescent="0.25">
      <c r="C46" t="s">
        <v>2</v>
      </c>
      <c r="D46" t="s">
        <v>34</v>
      </c>
      <c r="E46" t="s">
        <v>19</v>
      </c>
      <c r="F46" s="2">
        <v>7511</v>
      </c>
      <c r="G46" s="3">
        <v>120</v>
      </c>
    </row>
    <row r="47" spans="3:7" x14ac:dyDescent="0.25">
      <c r="C47" t="s">
        <v>5</v>
      </c>
      <c r="D47" t="s">
        <v>38</v>
      </c>
      <c r="E47" t="s">
        <v>25</v>
      </c>
      <c r="F47" s="2">
        <v>7483</v>
      </c>
      <c r="G47" s="3">
        <v>45</v>
      </c>
    </row>
    <row r="48" spans="3:7" x14ac:dyDescent="0.25">
      <c r="C48" t="s">
        <v>41</v>
      </c>
      <c r="D48" t="s">
        <v>35</v>
      </c>
      <c r="E48" t="s">
        <v>28</v>
      </c>
      <c r="F48" s="2">
        <v>7455</v>
      </c>
      <c r="G48" s="3">
        <v>216</v>
      </c>
    </row>
    <row r="49" spans="3:7" x14ac:dyDescent="0.25">
      <c r="C49" t="s">
        <v>6</v>
      </c>
      <c r="D49" t="s">
        <v>38</v>
      </c>
      <c r="E49" t="s">
        <v>21</v>
      </c>
      <c r="F49" s="2">
        <v>7322</v>
      </c>
      <c r="G49" s="3">
        <v>36</v>
      </c>
    </row>
    <row r="50" spans="3:7" x14ac:dyDescent="0.25">
      <c r="C50" t="s">
        <v>3</v>
      </c>
      <c r="D50" t="s">
        <v>37</v>
      </c>
      <c r="E50" t="s">
        <v>28</v>
      </c>
      <c r="F50" s="2">
        <v>7308</v>
      </c>
      <c r="G50" s="3">
        <v>327</v>
      </c>
    </row>
    <row r="51" spans="3:7" x14ac:dyDescent="0.25">
      <c r="C51" t="s">
        <v>5</v>
      </c>
      <c r="D51" t="s">
        <v>34</v>
      </c>
      <c r="E51" t="s">
        <v>15</v>
      </c>
      <c r="F51" s="2">
        <v>7280</v>
      </c>
      <c r="G51" s="3">
        <v>201</v>
      </c>
    </row>
    <row r="52" spans="3:7" x14ac:dyDescent="0.25">
      <c r="C52" t="s">
        <v>9</v>
      </c>
      <c r="D52" t="s">
        <v>37</v>
      </c>
      <c r="E52" t="s">
        <v>20</v>
      </c>
      <c r="F52" s="2">
        <v>7273</v>
      </c>
      <c r="G52" s="3">
        <v>96</v>
      </c>
    </row>
    <row r="53" spans="3:7" x14ac:dyDescent="0.25">
      <c r="C53" t="s">
        <v>3</v>
      </c>
      <c r="D53" t="s">
        <v>34</v>
      </c>
      <c r="E53" t="s">
        <v>14</v>
      </c>
      <c r="F53" s="2">
        <v>7259</v>
      </c>
      <c r="G53" s="3">
        <v>276</v>
      </c>
    </row>
    <row r="54" spans="3:7" x14ac:dyDescent="0.25">
      <c r="C54" t="s">
        <v>5</v>
      </c>
      <c r="D54" t="s">
        <v>38</v>
      </c>
      <c r="E54" t="s">
        <v>13</v>
      </c>
      <c r="F54" s="2">
        <v>7189</v>
      </c>
      <c r="G54" s="3">
        <v>54</v>
      </c>
    </row>
    <row r="55" spans="3:7" x14ac:dyDescent="0.25">
      <c r="C55" t="s">
        <v>8</v>
      </c>
      <c r="D55" t="s">
        <v>39</v>
      </c>
      <c r="E55" t="s">
        <v>30</v>
      </c>
      <c r="F55" s="2">
        <v>7021</v>
      </c>
      <c r="G55" s="3">
        <v>183</v>
      </c>
    </row>
    <row r="56" spans="3:7" x14ac:dyDescent="0.25">
      <c r="C56" t="s">
        <v>5</v>
      </c>
      <c r="D56" t="s">
        <v>34</v>
      </c>
      <c r="E56" t="s">
        <v>27</v>
      </c>
      <c r="F56" s="2">
        <v>6986</v>
      </c>
      <c r="G56" s="3">
        <v>21</v>
      </c>
    </row>
    <row r="57" spans="3:7" x14ac:dyDescent="0.25">
      <c r="C57" t="s">
        <v>5</v>
      </c>
      <c r="D57" t="s">
        <v>39</v>
      </c>
      <c r="E57" t="s">
        <v>22</v>
      </c>
      <c r="F57" s="2">
        <v>6909</v>
      </c>
      <c r="G57" s="3">
        <v>81</v>
      </c>
    </row>
    <row r="58" spans="3:7" x14ac:dyDescent="0.25">
      <c r="C58" t="s">
        <v>10</v>
      </c>
      <c r="D58" t="s">
        <v>38</v>
      </c>
      <c r="E58" t="s">
        <v>4</v>
      </c>
      <c r="F58" s="2">
        <v>6860</v>
      </c>
      <c r="G58" s="3">
        <v>126</v>
      </c>
    </row>
    <row r="59" spans="3:7" x14ac:dyDescent="0.25">
      <c r="C59" t="s">
        <v>40</v>
      </c>
      <c r="D59" t="s">
        <v>35</v>
      </c>
      <c r="E59" t="s">
        <v>22</v>
      </c>
      <c r="F59" s="2">
        <v>6853</v>
      </c>
      <c r="G59" s="3">
        <v>372</v>
      </c>
    </row>
    <row r="60" spans="3:7" x14ac:dyDescent="0.25">
      <c r="C60" t="s">
        <v>9</v>
      </c>
      <c r="D60" t="s">
        <v>34</v>
      </c>
      <c r="E60" t="s">
        <v>21</v>
      </c>
      <c r="F60" s="2">
        <v>6832</v>
      </c>
      <c r="G60" s="3">
        <v>27</v>
      </c>
    </row>
    <row r="61" spans="3:7" x14ac:dyDescent="0.25">
      <c r="C61" t="s">
        <v>6</v>
      </c>
      <c r="D61" t="s">
        <v>37</v>
      </c>
      <c r="E61" t="s">
        <v>26</v>
      </c>
      <c r="F61" s="2">
        <v>6818</v>
      </c>
      <c r="G61" s="3">
        <v>6</v>
      </c>
    </row>
    <row r="62" spans="3:7" x14ac:dyDescent="0.25">
      <c r="C62" t="s">
        <v>7</v>
      </c>
      <c r="D62" t="s">
        <v>35</v>
      </c>
      <c r="E62" t="s">
        <v>30</v>
      </c>
      <c r="F62" s="2">
        <v>6755</v>
      </c>
      <c r="G62" s="3">
        <v>252</v>
      </c>
    </row>
    <row r="63" spans="3:7" x14ac:dyDescent="0.25">
      <c r="C63" t="s">
        <v>40</v>
      </c>
      <c r="D63" t="s">
        <v>34</v>
      </c>
      <c r="E63" t="s">
        <v>26</v>
      </c>
      <c r="F63" s="2">
        <v>6748</v>
      </c>
      <c r="G63" s="3">
        <v>48</v>
      </c>
    </row>
    <row r="64" spans="3:7" x14ac:dyDescent="0.25">
      <c r="C64" t="s">
        <v>6</v>
      </c>
      <c r="D64" t="s">
        <v>34</v>
      </c>
      <c r="E64" t="s">
        <v>32</v>
      </c>
      <c r="F64" s="2">
        <v>6734</v>
      </c>
      <c r="G64" s="3">
        <v>123</v>
      </c>
    </row>
    <row r="65" spans="3:7" x14ac:dyDescent="0.25">
      <c r="C65" t="s">
        <v>8</v>
      </c>
      <c r="D65" t="s">
        <v>35</v>
      </c>
      <c r="E65" t="s">
        <v>32</v>
      </c>
      <c r="F65" s="2">
        <v>6706</v>
      </c>
      <c r="G65" s="3">
        <v>459</v>
      </c>
    </row>
    <row r="66" spans="3:7" x14ac:dyDescent="0.25">
      <c r="C66" t="s">
        <v>10</v>
      </c>
      <c r="D66" t="s">
        <v>36</v>
      </c>
      <c r="E66" t="s">
        <v>32</v>
      </c>
      <c r="F66" s="2">
        <v>6657</v>
      </c>
      <c r="G66" s="3">
        <v>303</v>
      </c>
    </row>
    <row r="67" spans="3:7" x14ac:dyDescent="0.25">
      <c r="C67" t="s">
        <v>3</v>
      </c>
      <c r="D67" t="s">
        <v>35</v>
      </c>
      <c r="E67" t="s">
        <v>15</v>
      </c>
      <c r="F67" s="2">
        <v>6657</v>
      </c>
      <c r="G67" s="3">
        <v>276</v>
      </c>
    </row>
    <row r="68" spans="3:7" x14ac:dyDescent="0.25">
      <c r="C68" t="s">
        <v>7</v>
      </c>
      <c r="D68" t="s">
        <v>37</v>
      </c>
      <c r="E68" t="s">
        <v>14</v>
      </c>
      <c r="F68" s="2">
        <v>6608</v>
      </c>
      <c r="G68" s="3">
        <v>225</v>
      </c>
    </row>
    <row r="69" spans="3:7" x14ac:dyDescent="0.25">
      <c r="C69" t="s">
        <v>2</v>
      </c>
      <c r="D69" t="s">
        <v>38</v>
      </c>
      <c r="E69" t="s">
        <v>28</v>
      </c>
      <c r="F69" s="2">
        <v>6580</v>
      </c>
      <c r="G69" s="3">
        <v>183</v>
      </c>
    </row>
    <row r="70" spans="3:7" x14ac:dyDescent="0.25">
      <c r="C70" t="s">
        <v>7</v>
      </c>
      <c r="D70" t="s">
        <v>37</v>
      </c>
      <c r="E70" t="s">
        <v>30</v>
      </c>
      <c r="F70" s="2">
        <v>6454</v>
      </c>
      <c r="G70" s="3">
        <v>54</v>
      </c>
    </row>
    <row r="71" spans="3:7" x14ac:dyDescent="0.25">
      <c r="C71" t="s">
        <v>8</v>
      </c>
      <c r="D71" t="s">
        <v>38</v>
      </c>
      <c r="E71" t="s">
        <v>21</v>
      </c>
      <c r="F71" s="2">
        <v>6433</v>
      </c>
      <c r="G71" s="3">
        <v>78</v>
      </c>
    </row>
    <row r="72" spans="3:7" x14ac:dyDescent="0.25">
      <c r="C72" t="s">
        <v>41</v>
      </c>
      <c r="D72" t="s">
        <v>37</v>
      </c>
      <c r="E72" t="s">
        <v>24</v>
      </c>
      <c r="F72" s="2">
        <v>6398</v>
      </c>
      <c r="G72" s="3">
        <v>102</v>
      </c>
    </row>
    <row r="73" spans="3:7" x14ac:dyDescent="0.25">
      <c r="C73" t="s">
        <v>7</v>
      </c>
      <c r="D73" t="s">
        <v>37</v>
      </c>
      <c r="E73" t="s">
        <v>33</v>
      </c>
      <c r="F73" s="2">
        <v>6391</v>
      </c>
      <c r="G73" s="3">
        <v>48</v>
      </c>
    </row>
    <row r="74" spans="3:7" x14ac:dyDescent="0.25">
      <c r="C74" t="s">
        <v>40</v>
      </c>
      <c r="D74" t="s">
        <v>39</v>
      </c>
      <c r="E74" t="s">
        <v>27</v>
      </c>
      <c r="F74" s="2">
        <v>6370</v>
      </c>
      <c r="G74" s="3">
        <v>30</v>
      </c>
    </row>
    <row r="75" spans="3:7" x14ac:dyDescent="0.25">
      <c r="C75" t="s">
        <v>5</v>
      </c>
      <c r="D75" t="s">
        <v>36</v>
      </c>
      <c r="E75" t="s">
        <v>23</v>
      </c>
      <c r="F75" s="2">
        <v>6314</v>
      </c>
      <c r="G75" s="3">
        <v>15</v>
      </c>
    </row>
    <row r="76" spans="3:7" x14ac:dyDescent="0.25">
      <c r="C76" t="s">
        <v>3</v>
      </c>
      <c r="D76" t="s">
        <v>34</v>
      </c>
      <c r="E76" t="s">
        <v>25</v>
      </c>
      <c r="F76" s="2">
        <v>6300</v>
      </c>
      <c r="G76" s="3">
        <v>42</v>
      </c>
    </row>
    <row r="77" spans="3:7" x14ac:dyDescent="0.25">
      <c r="C77" t="s">
        <v>5</v>
      </c>
      <c r="D77" t="s">
        <v>34</v>
      </c>
      <c r="E77" t="s">
        <v>22</v>
      </c>
      <c r="F77" s="2">
        <v>6279</v>
      </c>
      <c r="G77" s="3">
        <v>237</v>
      </c>
    </row>
    <row r="78" spans="3:7" x14ac:dyDescent="0.25">
      <c r="C78" t="s">
        <v>8</v>
      </c>
      <c r="D78" t="s">
        <v>37</v>
      </c>
      <c r="E78" t="s">
        <v>26</v>
      </c>
      <c r="F78" s="2">
        <v>6279</v>
      </c>
      <c r="G78" s="3">
        <v>45</v>
      </c>
    </row>
    <row r="79" spans="3:7" x14ac:dyDescent="0.25">
      <c r="C79" t="s">
        <v>5</v>
      </c>
      <c r="D79" t="s">
        <v>36</v>
      </c>
      <c r="E79" t="s">
        <v>13</v>
      </c>
      <c r="F79" s="2">
        <v>6146</v>
      </c>
      <c r="G79" s="3">
        <v>63</v>
      </c>
    </row>
    <row r="80" spans="3:7" x14ac:dyDescent="0.25">
      <c r="C80" t="s">
        <v>40</v>
      </c>
      <c r="D80" t="s">
        <v>37</v>
      </c>
      <c r="E80" t="s">
        <v>27</v>
      </c>
      <c r="F80" s="2">
        <v>6132</v>
      </c>
      <c r="G80" s="3">
        <v>93</v>
      </c>
    </row>
    <row r="81" spans="3:7" x14ac:dyDescent="0.25">
      <c r="C81" t="s">
        <v>40</v>
      </c>
      <c r="D81" t="s">
        <v>38</v>
      </c>
      <c r="E81" t="s">
        <v>4</v>
      </c>
      <c r="F81" s="2">
        <v>6125</v>
      </c>
      <c r="G81" s="3">
        <v>102</v>
      </c>
    </row>
    <row r="82" spans="3:7" x14ac:dyDescent="0.25">
      <c r="C82" t="s">
        <v>41</v>
      </c>
      <c r="D82" t="s">
        <v>36</v>
      </c>
      <c r="E82" t="s">
        <v>30</v>
      </c>
      <c r="F82" s="2">
        <v>6118</v>
      </c>
      <c r="G82" s="3">
        <v>174</v>
      </c>
    </row>
    <row r="83" spans="3:7" x14ac:dyDescent="0.25">
      <c r="C83" t="s">
        <v>6</v>
      </c>
      <c r="D83" t="s">
        <v>36</v>
      </c>
      <c r="E83" t="s">
        <v>32</v>
      </c>
      <c r="F83" s="2">
        <v>6118</v>
      </c>
      <c r="G83" s="3">
        <v>9</v>
      </c>
    </row>
    <row r="84" spans="3:7" x14ac:dyDescent="0.25">
      <c r="C84" t="s">
        <v>5</v>
      </c>
      <c r="D84" t="s">
        <v>36</v>
      </c>
      <c r="E84" t="s">
        <v>18</v>
      </c>
      <c r="F84" s="2">
        <v>6111</v>
      </c>
      <c r="G84" s="3">
        <v>3</v>
      </c>
    </row>
    <row r="85" spans="3:7" x14ac:dyDescent="0.25">
      <c r="C85" t="s">
        <v>6</v>
      </c>
      <c r="D85" t="s">
        <v>39</v>
      </c>
      <c r="E85" t="s">
        <v>17</v>
      </c>
      <c r="F85" s="2">
        <v>6048</v>
      </c>
      <c r="G85" s="3">
        <v>27</v>
      </c>
    </row>
    <row r="86" spans="3:7" x14ac:dyDescent="0.25">
      <c r="C86" t="s">
        <v>2</v>
      </c>
      <c r="D86" t="s">
        <v>39</v>
      </c>
      <c r="E86" t="s">
        <v>28</v>
      </c>
      <c r="F86" s="2">
        <v>6027</v>
      </c>
      <c r="G86" s="3">
        <v>144</v>
      </c>
    </row>
    <row r="87" spans="3:7" x14ac:dyDescent="0.25">
      <c r="C87" t="s">
        <v>41</v>
      </c>
      <c r="D87" t="s">
        <v>38</v>
      </c>
      <c r="E87" t="s">
        <v>22</v>
      </c>
      <c r="F87" s="2">
        <v>5915</v>
      </c>
      <c r="G87" s="3">
        <v>3</v>
      </c>
    </row>
    <row r="88" spans="3:7" x14ac:dyDescent="0.25">
      <c r="C88" t="s">
        <v>40</v>
      </c>
      <c r="D88" t="s">
        <v>39</v>
      </c>
      <c r="E88" t="s">
        <v>22</v>
      </c>
      <c r="F88" s="2">
        <v>5817</v>
      </c>
      <c r="G88" s="3">
        <v>12</v>
      </c>
    </row>
    <row r="89" spans="3:7" x14ac:dyDescent="0.25">
      <c r="C89" t="s">
        <v>40</v>
      </c>
      <c r="D89" t="s">
        <v>39</v>
      </c>
      <c r="E89" t="s">
        <v>15</v>
      </c>
      <c r="F89" s="2">
        <v>5775</v>
      </c>
      <c r="G89" s="3">
        <v>42</v>
      </c>
    </row>
    <row r="90" spans="3:7" x14ac:dyDescent="0.25">
      <c r="C90" t="s">
        <v>7</v>
      </c>
      <c r="D90" t="s">
        <v>38</v>
      </c>
      <c r="E90" t="s">
        <v>28</v>
      </c>
      <c r="F90" s="2">
        <v>5677</v>
      </c>
      <c r="G90" s="3">
        <v>258</v>
      </c>
    </row>
    <row r="91" spans="3:7" x14ac:dyDescent="0.25">
      <c r="C91" t="s">
        <v>40</v>
      </c>
      <c r="D91" t="s">
        <v>38</v>
      </c>
      <c r="E91" t="s">
        <v>13</v>
      </c>
      <c r="F91" s="2">
        <v>5670</v>
      </c>
      <c r="G91" s="3">
        <v>297</v>
      </c>
    </row>
    <row r="92" spans="3:7" x14ac:dyDescent="0.25">
      <c r="C92" t="s">
        <v>10</v>
      </c>
      <c r="D92" t="s">
        <v>38</v>
      </c>
      <c r="E92" t="s">
        <v>14</v>
      </c>
      <c r="F92" s="2">
        <v>5586</v>
      </c>
      <c r="G92" s="3">
        <v>525</v>
      </c>
    </row>
    <row r="93" spans="3:7" x14ac:dyDescent="0.25">
      <c r="C93" t="s">
        <v>7</v>
      </c>
      <c r="D93" t="s">
        <v>36</v>
      </c>
      <c r="E93" t="s">
        <v>29</v>
      </c>
      <c r="F93" s="2">
        <v>5551</v>
      </c>
      <c r="G93" s="3">
        <v>252</v>
      </c>
    </row>
    <row r="94" spans="3:7" x14ac:dyDescent="0.25">
      <c r="C94" t="s">
        <v>5</v>
      </c>
      <c r="D94" t="s">
        <v>38</v>
      </c>
      <c r="E94" t="s">
        <v>19</v>
      </c>
      <c r="F94" s="2">
        <v>5474</v>
      </c>
      <c r="G94" s="3">
        <v>168</v>
      </c>
    </row>
    <row r="95" spans="3:7" x14ac:dyDescent="0.25">
      <c r="C95" t="s">
        <v>40</v>
      </c>
      <c r="D95" t="s">
        <v>36</v>
      </c>
      <c r="E95" t="s">
        <v>25</v>
      </c>
      <c r="F95" s="2">
        <v>5439</v>
      </c>
      <c r="G95" s="3">
        <v>30</v>
      </c>
    </row>
    <row r="96" spans="3:7" x14ac:dyDescent="0.25">
      <c r="C96" t="s">
        <v>10</v>
      </c>
      <c r="D96" t="s">
        <v>34</v>
      </c>
      <c r="E96" t="s">
        <v>19</v>
      </c>
      <c r="F96" s="2">
        <v>5355</v>
      </c>
      <c r="G96" s="3">
        <v>204</v>
      </c>
    </row>
    <row r="97" spans="3:7" x14ac:dyDescent="0.25">
      <c r="C97" t="s">
        <v>7</v>
      </c>
      <c r="D97" t="s">
        <v>37</v>
      </c>
      <c r="E97" t="s">
        <v>26</v>
      </c>
      <c r="F97" s="2">
        <v>5306</v>
      </c>
      <c r="G97" s="3">
        <v>0</v>
      </c>
    </row>
    <row r="98" spans="3:7" x14ac:dyDescent="0.25">
      <c r="C98" t="s">
        <v>5</v>
      </c>
      <c r="D98" t="s">
        <v>39</v>
      </c>
      <c r="E98" t="s">
        <v>26</v>
      </c>
      <c r="F98" s="2">
        <v>5236</v>
      </c>
      <c r="G98" s="3">
        <v>51</v>
      </c>
    </row>
    <row r="99" spans="3:7" x14ac:dyDescent="0.25">
      <c r="C99" t="s">
        <v>7</v>
      </c>
      <c r="D99" t="s">
        <v>35</v>
      </c>
      <c r="E99" t="s">
        <v>28</v>
      </c>
      <c r="F99" s="2">
        <v>5194</v>
      </c>
      <c r="G99" s="3">
        <v>288</v>
      </c>
    </row>
    <row r="100" spans="3:7" x14ac:dyDescent="0.25">
      <c r="C100" t="s">
        <v>5</v>
      </c>
      <c r="D100" t="s">
        <v>38</v>
      </c>
      <c r="E100" t="s">
        <v>32</v>
      </c>
      <c r="F100" s="2">
        <v>5075</v>
      </c>
      <c r="G100" s="3">
        <v>21</v>
      </c>
    </row>
    <row r="101" spans="3:7" x14ac:dyDescent="0.25">
      <c r="C101" t="s">
        <v>40</v>
      </c>
      <c r="D101" t="s">
        <v>34</v>
      </c>
      <c r="E101" t="s">
        <v>17</v>
      </c>
      <c r="F101" s="2">
        <v>5019</v>
      </c>
      <c r="G101" s="3">
        <v>156</v>
      </c>
    </row>
    <row r="102" spans="3:7" x14ac:dyDescent="0.25">
      <c r="C102" t="s">
        <v>8</v>
      </c>
      <c r="D102" t="s">
        <v>36</v>
      </c>
      <c r="E102" t="s">
        <v>23</v>
      </c>
      <c r="F102" s="2">
        <v>5019</v>
      </c>
      <c r="G102" s="3">
        <v>150</v>
      </c>
    </row>
    <row r="103" spans="3:7" x14ac:dyDescent="0.25">
      <c r="C103" t="s">
        <v>8</v>
      </c>
      <c r="D103" t="s">
        <v>35</v>
      </c>
      <c r="E103" t="s">
        <v>22</v>
      </c>
      <c r="F103" s="2">
        <v>5012</v>
      </c>
      <c r="G103" s="3">
        <v>210</v>
      </c>
    </row>
    <row r="104" spans="3:7" x14ac:dyDescent="0.25">
      <c r="C104" t="s">
        <v>5</v>
      </c>
      <c r="D104" t="s">
        <v>37</v>
      </c>
      <c r="E104" t="s">
        <v>14</v>
      </c>
      <c r="F104" s="2">
        <v>4991</v>
      </c>
      <c r="G104" s="3">
        <v>12</v>
      </c>
    </row>
    <row r="105" spans="3:7" x14ac:dyDescent="0.25">
      <c r="C105" t="s">
        <v>10</v>
      </c>
      <c r="D105" t="s">
        <v>34</v>
      </c>
      <c r="E105" t="s">
        <v>26</v>
      </c>
      <c r="F105" s="2">
        <v>4991</v>
      </c>
      <c r="G105" s="3">
        <v>9</v>
      </c>
    </row>
    <row r="106" spans="3:7" x14ac:dyDescent="0.25">
      <c r="C106" t="s">
        <v>6</v>
      </c>
      <c r="D106" t="s">
        <v>36</v>
      </c>
      <c r="E106" t="s">
        <v>17</v>
      </c>
      <c r="F106" s="2">
        <v>4970</v>
      </c>
      <c r="G106" s="3">
        <v>156</v>
      </c>
    </row>
    <row r="107" spans="3:7" x14ac:dyDescent="0.25">
      <c r="C107" t="s">
        <v>3</v>
      </c>
      <c r="D107" t="s">
        <v>39</v>
      </c>
      <c r="E107" t="s">
        <v>26</v>
      </c>
      <c r="F107" s="2">
        <v>4956</v>
      </c>
      <c r="G107" s="3">
        <v>171</v>
      </c>
    </row>
    <row r="108" spans="3:7" x14ac:dyDescent="0.25">
      <c r="C108" t="s">
        <v>6</v>
      </c>
      <c r="D108" t="s">
        <v>37</v>
      </c>
      <c r="E108" t="s">
        <v>23</v>
      </c>
      <c r="F108" s="2">
        <v>4949</v>
      </c>
      <c r="G108" s="3">
        <v>189</v>
      </c>
    </row>
    <row r="109" spans="3:7" x14ac:dyDescent="0.25">
      <c r="C109" t="s">
        <v>41</v>
      </c>
      <c r="D109" t="s">
        <v>34</v>
      </c>
      <c r="E109" t="s">
        <v>23</v>
      </c>
      <c r="F109" s="2">
        <v>4935</v>
      </c>
      <c r="G109" s="3">
        <v>126</v>
      </c>
    </row>
    <row r="110" spans="3:7" x14ac:dyDescent="0.25">
      <c r="C110" t="s">
        <v>10</v>
      </c>
      <c r="D110" t="s">
        <v>39</v>
      </c>
      <c r="E110" t="s">
        <v>21</v>
      </c>
      <c r="F110" s="2">
        <v>4858</v>
      </c>
      <c r="G110" s="3">
        <v>279</v>
      </c>
    </row>
    <row r="111" spans="3:7" x14ac:dyDescent="0.25">
      <c r="C111" t="s">
        <v>2</v>
      </c>
      <c r="D111" t="s">
        <v>39</v>
      </c>
      <c r="E111" t="s">
        <v>15</v>
      </c>
      <c r="F111" s="2">
        <v>4802</v>
      </c>
      <c r="G111" s="3">
        <v>36</v>
      </c>
    </row>
    <row r="112" spans="3:7" x14ac:dyDescent="0.25">
      <c r="C112" t="s">
        <v>6</v>
      </c>
      <c r="D112" t="s">
        <v>35</v>
      </c>
      <c r="E112" t="s">
        <v>30</v>
      </c>
      <c r="F112" s="2">
        <v>4781</v>
      </c>
      <c r="G112" s="3">
        <v>123</v>
      </c>
    </row>
    <row r="113" spans="3:7" x14ac:dyDescent="0.25">
      <c r="C113" t="s">
        <v>41</v>
      </c>
      <c r="D113" t="s">
        <v>35</v>
      </c>
      <c r="E113" t="s">
        <v>13</v>
      </c>
      <c r="F113" s="2">
        <v>4760</v>
      </c>
      <c r="G113" s="3">
        <v>69</v>
      </c>
    </row>
    <row r="114" spans="3:7" x14ac:dyDescent="0.25">
      <c r="C114" t="s">
        <v>8</v>
      </c>
      <c r="D114" t="s">
        <v>35</v>
      </c>
      <c r="E114" t="s">
        <v>27</v>
      </c>
      <c r="F114" s="2">
        <v>4753</v>
      </c>
      <c r="G114" s="3">
        <v>300</v>
      </c>
    </row>
    <row r="115" spans="3:7" x14ac:dyDescent="0.25">
      <c r="C115" t="s">
        <v>5</v>
      </c>
      <c r="D115" t="s">
        <v>35</v>
      </c>
      <c r="E115" t="s">
        <v>31</v>
      </c>
      <c r="F115" s="2">
        <v>4753</v>
      </c>
      <c r="G115" s="3">
        <v>246</v>
      </c>
    </row>
    <row r="116" spans="3:7" x14ac:dyDescent="0.25">
      <c r="C116" t="s">
        <v>40</v>
      </c>
      <c r="D116" t="s">
        <v>35</v>
      </c>
      <c r="E116" t="s">
        <v>16</v>
      </c>
      <c r="F116" s="2">
        <v>4725</v>
      </c>
      <c r="G116" s="3">
        <v>174</v>
      </c>
    </row>
    <row r="117" spans="3:7" x14ac:dyDescent="0.25">
      <c r="C117" t="s">
        <v>10</v>
      </c>
      <c r="D117" t="s">
        <v>37</v>
      </c>
      <c r="E117" t="s">
        <v>23</v>
      </c>
      <c r="F117" s="2">
        <v>4683</v>
      </c>
      <c r="G117" s="3">
        <v>30</v>
      </c>
    </row>
    <row r="118" spans="3:7" x14ac:dyDescent="0.25">
      <c r="C118" t="s">
        <v>7</v>
      </c>
      <c r="D118" t="s">
        <v>35</v>
      </c>
      <c r="E118" t="s">
        <v>14</v>
      </c>
      <c r="F118" s="2">
        <v>4606</v>
      </c>
      <c r="G118" s="3">
        <v>63</v>
      </c>
    </row>
    <row r="119" spans="3:7" x14ac:dyDescent="0.25">
      <c r="C119" t="s">
        <v>3</v>
      </c>
      <c r="D119" t="s">
        <v>37</v>
      </c>
      <c r="E119" t="s">
        <v>29</v>
      </c>
      <c r="F119" s="2">
        <v>4592</v>
      </c>
      <c r="G119" s="3">
        <v>324</v>
      </c>
    </row>
    <row r="120" spans="3:7" x14ac:dyDescent="0.25">
      <c r="C120" t="s">
        <v>7</v>
      </c>
      <c r="D120" t="s">
        <v>35</v>
      </c>
      <c r="E120" t="s">
        <v>19</v>
      </c>
      <c r="F120" s="2">
        <v>4585</v>
      </c>
      <c r="G120" s="3">
        <v>240</v>
      </c>
    </row>
    <row r="121" spans="3:7" x14ac:dyDescent="0.25">
      <c r="C121" t="s">
        <v>7</v>
      </c>
      <c r="D121" t="s">
        <v>37</v>
      </c>
      <c r="E121" t="s">
        <v>16</v>
      </c>
      <c r="F121" s="2">
        <v>4487</v>
      </c>
      <c r="G121" s="3">
        <v>333</v>
      </c>
    </row>
    <row r="122" spans="3:7" x14ac:dyDescent="0.25">
      <c r="C122" t="s">
        <v>7</v>
      </c>
      <c r="D122" t="s">
        <v>37</v>
      </c>
      <c r="E122" t="s">
        <v>17</v>
      </c>
      <c r="F122" s="2">
        <v>4487</v>
      </c>
      <c r="G122" s="3">
        <v>111</v>
      </c>
    </row>
    <row r="123" spans="3:7" x14ac:dyDescent="0.25">
      <c r="C123" t="s">
        <v>5</v>
      </c>
      <c r="D123" t="s">
        <v>35</v>
      </c>
      <c r="E123" t="s">
        <v>29</v>
      </c>
      <c r="F123" s="2">
        <v>4480</v>
      </c>
      <c r="G123" s="3">
        <v>357</v>
      </c>
    </row>
    <row r="124" spans="3:7" x14ac:dyDescent="0.25">
      <c r="C124" t="s">
        <v>7</v>
      </c>
      <c r="D124" t="s">
        <v>39</v>
      </c>
      <c r="E124" t="s">
        <v>17</v>
      </c>
      <c r="F124" s="2">
        <v>4438</v>
      </c>
      <c r="G124" s="3">
        <v>246</v>
      </c>
    </row>
    <row r="125" spans="3:7" x14ac:dyDescent="0.25">
      <c r="C125" t="s">
        <v>40</v>
      </c>
      <c r="D125" t="s">
        <v>36</v>
      </c>
      <c r="E125" t="s">
        <v>13</v>
      </c>
      <c r="F125" s="2">
        <v>4424</v>
      </c>
      <c r="G125" s="3">
        <v>201</v>
      </c>
    </row>
    <row r="126" spans="3:7" x14ac:dyDescent="0.25">
      <c r="C126" t="s">
        <v>2</v>
      </c>
      <c r="D126" t="s">
        <v>38</v>
      </c>
      <c r="E126" t="s">
        <v>23</v>
      </c>
      <c r="F126" s="2">
        <v>4417</v>
      </c>
      <c r="G126" s="3">
        <v>153</v>
      </c>
    </row>
    <row r="127" spans="3:7" x14ac:dyDescent="0.25">
      <c r="C127" t="s">
        <v>2</v>
      </c>
      <c r="D127" t="s">
        <v>38</v>
      </c>
      <c r="E127" t="s">
        <v>31</v>
      </c>
      <c r="F127" s="2">
        <v>4326</v>
      </c>
      <c r="G127" s="3">
        <v>348</v>
      </c>
    </row>
    <row r="128" spans="3:7" x14ac:dyDescent="0.25">
      <c r="C128" t="s">
        <v>6</v>
      </c>
      <c r="D128" t="s">
        <v>36</v>
      </c>
      <c r="E128" t="s">
        <v>13</v>
      </c>
      <c r="F128" s="2">
        <v>4319</v>
      </c>
      <c r="G128" s="3">
        <v>30</v>
      </c>
    </row>
    <row r="129" spans="3:7" x14ac:dyDescent="0.25">
      <c r="C129" t="s">
        <v>9</v>
      </c>
      <c r="D129" t="s">
        <v>37</v>
      </c>
      <c r="E129" t="s">
        <v>25</v>
      </c>
      <c r="F129" s="2">
        <v>4305</v>
      </c>
      <c r="G129" s="3">
        <v>156</v>
      </c>
    </row>
    <row r="130" spans="3:7" x14ac:dyDescent="0.25">
      <c r="C130" t="s">
        <v>6</v>
      </c>
      <c r="D130" t="s">
        <v>34</v>
      </c>
      <c r="E130" t="s">
        <v>27</v>
      </c>
      <c r="F130" s="2">
        <v>4242</v>
      </c>
      <c r="G130" s="3">
        <v>207</v>
      </c>
    </row>
    <row r="131" spans="3:7" x14ac:dyDescent="0.25">
      <c r="C131" t="s">
        <v>9</v>
      </c>
      <c r="D131" t="s">
        <v>38</v>
      </c>
      <c r="E131" t="s">
        <v>24</v>
      </c>
      <c r="F131" s="2">
        <v>4137</v>
      </c>
      <c r="G131" s="3">
        <v>60</v>
      </c>
    </row>
    <row r="132" spans="3:7" x14ac:dyDescent="0.25">
      <c r="C132" t="s">
        <v>10</v>
      </c>
      <c r="D132" t="s">
        <v>34</v>
      </c>
      <c r="E132" t="s">
        <v>22</v>
      </c>
      <c r="F132" s="2">
        <v>4053</v>
      </c>
      <c r="G132" s="3">
        <v>24</v>
      </c>
    </row>
    <row r="133" spans="3:7" x14ac:dyDescent="0.25">
      <c r="C133" t="s">
        <v>5</v>
      </c>
      <c r="D133" t="s">
        <v>39</v>
      </c>
      <c r="E133" t="s">
        <v>24</v>
      </c>
      <c r="F133" s="2">
        <v>4018</v>
      </c>
      <c r="G133" s="3">
        <v>171</v>
      </c>
    </row>
    <row r="134" spans="3:7" x14ac:dyDescent="0.25">
      <c r="C134" t="s">
        <v>40</v>
      </c>
      <c r="D134" t="s">
        <v>34</v>
      </c>
      <c r="E134" t="s">
        <v>19</v>
      </c>
      <c r="F134" s="2">
        <v>4018</v>
      </c>
      <c r="G134" s="3">
        <v>162</v>
      </c>
    </row>
    <row r="135" spans="3:7" x14ac:dyDescent="0.25">
      <c r="C135" t="s">
        <v>2</v>
      </c>
      <c r="D135" t="s">
        <v>39</v>
      </c>
      <c r="E135" t="s">
        <v>33</v>
      </c>
      <c r="F135" s="2">
        <v>4018</v>
      </c>
      <c r="G135" s="3">
        <v>126</v>
      </c>
    </row>
    <row r="136" spans="3:7" x14ac:dyDescent="0.25">
      <c r="C136" t="s">
        <v>3</v>
      </c>
      <c r="D136" t="s">
        <v>37</v>
      </c>
      <c r="E136" t="s">
        <v>17</v>
      </c>
      <c r="F136" s="2">
        <v>3983</v>
      </c>
      <c r="G136" s="3">
        <v>144</v>
      </c>
    </row>
    <row r="137" spans="3:7" x14ac:dyDescent="0.25">
      <c r="C137" t="s">
        <v>41</v>
      </c>
      <c r="D137" t="s">
        <v>39</v>
      </c>
      <c r="E137" t="s">
        <v>14</v>
      </c>
      <c r="F137" s="2">
        <v>3976</v>
      </c>
      <c r="G137" s="3">
        <v>72</v>
      </c>
    </row>
    <row r="138" spans="3:7" x14ac:dyDescent="0.25">
      <c r="C138" t="s">
        <v>9</v>
      </c>
      <c r="D138" t="s">
        <v>39</v>
      </c>
      <c r="E138" t="s">
        <v>24</v>
      </c>
      <c r="F138" s="2">
        <v>3920</v>
      </c>
      <c r="G138" s="3">
        <v>306</v>
      </c>
    </row>
    <row r="139" spans="3:7" x14ac:dyDescent="0.25">
      <c r="C139" t="s">
        <v>6</v>
      </c>
      <c r="D139" t="s">
        <v>35</v>
      </c>
      <c r="E139" t="s">
        <v>27</v>
      </c>
      <c r="F139" s="2">
        <v>3864</v>
      </c>
      <c r="G139" s="3">
        <v>177</v>
      </c>
    </row>
    <row r="140" spans="3:7" x14ac:dyDescent="0.25">
      <c r="C140" t="s">
        <v>9</v>
      </c>
      <c r="D140" t="s">
        <v>38</v>
      </c>
      <c r="E140" t="s">
        <v>25</v>
      </c>
      <c r="F140" s="2">
        <v>3850</v>
      </c>
      <c r="G140" s="3">
        <v>102</v>
      </c>
    </row>
    <row r="141" spans="3:7" x14ac:dyDescent="0.25">
      <c r="C141" t="s">
        <v>7</v>
      </c>
      <c r="D141" t="s">
        <v>34</v>
      </c>
      <c r="E141" t="s">
        <v>15</v>
      </c>
      <c r="F141" s="2">
        <v>3829</v>
      </c>
      <c r="G141" s="3">
        <v>24</v>
      </c>
    </row>
    <row r="142" spans="3:7" x14ac:dyDescent="0.25">
      <c r="C142" t="s">
        <v>10</v>
      </c>
      <c r="D142" t="s">
        <v>35</v>
      </c>
      <c r="E142" t="s">
        <v>18</v>
      </c>
      <c r="F142" s="2">
        <v>3808</v>
      </c>
      <c r="G142" s="3">
        <v>279</v>
      </c>
    </row>
    <row r="143" spans="3:7" x14ac:dyDescent="0.25">
      <c r="C143" t="s">
        <v>40</v>
      </c>
      <c r="D143" t="s">
        <v>34</v>
      </c>
      <c r="E143" t="s">
        <v>33</v>
      </c>
      <c r="F143" s="2">
        <v>3794</v>
      </c>
      <c r="G143" s="3">
        <v>159</v>
      </c>
    </row>
    <row r="144" spans="3:7" x14ac:dyDescent="0.25">
      <c r="C144" t="s">
        <v>3</v>
      </c>
      <c r="D144" t="s">
        <v>36</v>
      </c>
      <c r="E144" t="s">
        <v>23</v>
      </c>
      <c r="F144" s="2">
        <v>3773</v>
      </c>
      <c r="G144" s="3">
        <v>165</v>
      </c>
    </row>
    <row r="145" spans="3:7" x14ac:dyDescent="0.25">
      <c r="C145" t="s">
        <v>6</v>
      </c>
      <c r="D145" t="s">
        <v>34</v>
      </c>
      <c r="E145" t="s">
        <v>17</v>
      </c>
      <c r="F145" s="2">
        <v>3759</v>
      </c>
      <c r="G145" s="3">
        <v>150</v>
      </c>
    </row>
    <row r="146" spans="3:7" x14ac:dyDescent="0.25">
      <c r="C146" t="s">
        <v>8</v>
      </c>
      <c r="D146" t="s">
        <v>38</v>
      </c>
      <c r="E146" t="s">
        <v>32</v>
      </c>
      <c r="F146" s="2">
        <v>3752</v>
      </c>
      <c r="G146" s="3">
        <v>213</v>
      </c>
    </row>
    <row r="147" spans="3:7" x14ac:dyDescent="0.25">
      <c r="C147" t="s">
        <v>3</v>
      </c>
      <c r="D147" t="s">
        <v>34</v>
      </c>
      <c r="E147" t="s">
        <v>28</v>
      </c>
      <c r="F147" s="2">
        <v>3689</v>
      </c>
      <c r="G147" s="3">
        <v>312</v>
      </c>
    </row>
    <row r="148" spans="3:7" x14ac:dyDescent="0.25">
      <c r="C148" t="s">
        <v>3</v>
      </c>
      <c r="D148" t="s">
        <v>39</v>
      </c>
      <c r="E148" t="s">
        <v>29</v>
      </c>
      <c r="F148" s="2">
        <v>3640</v>
      </c>
      <c r="G148" s="3">
        <v>51</v>
      </c>
    </row>
    <row r="149" spans="3:7" x14ac:dyDescent="0.25">
      <c r="C149" t="s">
        <v>8</v>
      </c>
      <c r="D149" t="s">
        <v>35</v>
      </c>
      <c r="E149" t="s">
        <v>30</v>
      </c>
      <c r="F149" s="2">
        <v>3598</v>
      </c>
      <c r="G149" s="3">
        <v>81</v>
      </c>
    </row>
    <row r="150" spans="3:7" x14ac:dyDescent="0.25">
      <c r="C150" t="s">
        <v>6</v>
      </c>
      <c r="D150" t="s">
        <v>37</v>
      </c>
      <c r="E150" t="s">
        <v>28</v>
      </c>
      <c r="F150" s="2">
        <v>3556</v>
      </c>
      <c r="G150" s="3">
        <v>459</v>
      </c>
    </row>
    <row r="151" spans="3:7" x14ac:dyDescent="0.25">
      <c r="C151" t="s">
        <v>2</v>
      </c>
      <c r="D151" t="s">
        <v>38</v>
      </c>
      <c r="E151" t="s">
        <v>4</v>
      </c>
      <c r="F151" s="2">
        <v>3549</v>
      </c>
      <c r="G151" s="3">
        <v>3</v>
      </c>
    </row>
    <row r="152" spans="3:7" x14ac:dyDescent="0.25">
      <c r="C152" t="s">
        <v>8</v>
      </c>
      <c r="D152" t="s">
        <v>34</v>
      </c>
      <c r="E152" t="s">
        <v>31</v>
      </c>
      <c r="F152" s="2">
        <v>3507</v>
      </c>
      <c r="G152" s="3">
        <v>288</v>
      </c>
    </row>
    <row r="153" spans="3:7" x14ac:dyDescent="0.25">
      <c r="C153" t="s">
        <v>10</v>
      </c>
      <c r="D153" t="s">
        <v>35</v>
      </c>
      <c r="E153" t="s">
        <v>14</v>
      </c>
      <c r="F153" s="2">
        <v>3472</v>
      </c>
      <c r="G153" s="3">
        <v>96</v>
      </c>
    </row>
    <row r="154" spans="3:7" x14ac:dyDescent="0.25">
      <c r="C154" t="s">
        <v>6</v>
      </c>
      <c r="D154" t="s">
        <v>34</v>
      </c>
      <c r="E154" t="s">
        <v>30</v>
      </c>
      <c r="F154" s="2">
        <v>3402</v>
      </c>
      <c r="G154" s="3">
        <v>366</v>
      </c>
    </row>
    <row r="155" spans="3:7" x14ac:dyDescent="0.25">
      <c r="C155" t="s">
        <v>41</v>
      </c>
      <c r="D155" t="s">
        <v>37</v>
      </c>
      <c r="E155" t="s">
        <v>20</v>
      </c>
      <c r="F155" s="2">
        <v>3388</v>
      </c>
      <c r="G155" s="3">
        <v>123</v>
      </c>
    </row>
    <row r="156" spans="3:7" x14ac:dyDescent="0.25">
      <c r="C156" t="s">
        <v>5</v>
      </c>
      <c r="D156" t="s">
        <v>36</v>
      </c>
      <c r="E156" t="s">
        <v>17</v>
      </c>
      <c r="F156" s="2">
        <v>3339</v>
      </c>
      <c r="G156" s="3">
        <v>348</v>
      </c>
    </row>
    <row r="157" spans="3:7" x14ac:dyDescent="0.25">
      <c r="C157" t="s">
        <v>6</v>
      </c>
      <c r="D157" t="s">
        <v>34</v>
      </c>
      <c r="E157" t="s">
        <v>29</v>
      </c>
      <c r="F157" s="2">
        <v>3339</v>
      </c>
      <c r="G157" s="3">
        <v>75</v>
      </c>
    </row>
    <row r="158" spans="3:7" x14ac:dyDescent="0.25">
      <c r="C158" t="s">
        <v>3</v>
      </c>
      <c r="D158" t="s">
        <v>36</v>
      </c>
      <c r="E158" t="s">
        <v>25</v>
      </c>
      <c r="F158" s="2">
        <v>3339</v>
      </c>
      <c r="G158" s="3">
        <v>39</v>
      </c>
    </row>
    <row r="159" spans="3:7" x14ac:dyDescent="0.25">
      <c r="C159" t="s">
        <v>7</v>
      </c>
      <c r="D159" t="s">
        <v>34</v>
      </c>
      <c r="E159" t="s">
        <v>32</v>
      </c>
      <c r="F159" s="2">
        <v>3262</v>
      </c>
      <c r="G159" s="3">
        <v>75</v>
      </c>
    </row>
    <row r="160" spans="3:7" x14ac:dyDescent="0.25">
      <c r="C160" t="s">
        <v>9</v>
      </c>
      <c r="D160" t="s">
        <v>39</v>
      </c>
      <c r="E160" t="s">
        <v>25</v>
      </c>
      <c r="F160" s="2">
        <v>3192</v>
      </c>
      <c r="G160" s="3">
        <v>72</v>
      </c>
    </row>
    <row r="161" spans="3:7" x14ac:dyDescent="0.25">
      <c r="C161" t="s">
        <v>40</v>
      </c>
      <c r="D161" t="s">
        <v>36</v>
      </c>
      <c r="E161" t="s">
        <v>27</v>
      </c>
      <c r="F161" s="2">
        <v>3164</v>
      </c>
      <c r="G161" s="3">
        <v>306</v>
      </c>
    </row>
    <row r="162" spans="3:7" x14ac:dyDescent="0.25">
      <c r="C162" t="s">
        <v>3</v>
      </c>
      <c r="D162" t="s">
        <v>34</v>
      </c>
      <c r="E162" t="s">
        <v>26</v>
      </c>
      <c r="F162" s="2">
        <v>3108</v>
      </c>
      <c r="G162" s="3">
        <v>54</v>
      </c>
    </row>
    <row r="163" spans="3:7" x14ac:dyDescent="0.25">
      <c r="C163" t="s">
        <v>40</v>
      </c>
      <c r="D163" t="s">
        <v>39</v>
      </c>
      <c r="E163" t="s">
        <v>28</v>
      </c>
      <c r="F163" s="2">
        <v>3101</v>
      </c>
      <c r="G163" s="3">
        <v>225</v>
      </c>
    </row>
    <row r="164" spans="3:7" x14ac:dyDescent="0.25">
      <c r="C164" t="s">
        <v>2</v>
      </c>
      <c r="D164" t="s">
        <v>36</v>
      </c>
      <c r="E164" t="s">
        <v>31</v>
      </c>
      <c r="F164" s="2">
        <v>3094</v>
      </c>
      <c r="G164" s="3">
        <v>246</v>
      </c>
    </row>
    <row r="165" spans="3:7" x14ac:dyDescent="0.25">
      <c r="C165" t="s">
        <v>10</v>
      </c>
      <c r="D165" t="s">
        <v>37</v>
      </c>
      <c r="E165" t="s">
        <v>28</v>
      </c>
      <c r="F165" s="2">
        <v>3059</v>
      </c>
      <c r="G165" s="3">
        <v>27</v>
      </c>
    </row>
    <row r="166" spans="3:7" x14ac:dyDescent="0.25">
      <c r="C166" t="s">
        <v>6</v>
      </c>
      <c r="D166" t="s">
        <v>39</v>
      </c>
      <c r="E166" t="s">
        <v>29</v>
      </c>
      <c r="F166" s="2">
        <v>3052</v>
      </c>
      <c r="G166" s="3">
        <v>378</v>
      </c>
    </row>
    <row r="167" spans="3:7" x14ac:dyDescent="0.25">
      <c r="C167" t="s">
        <v>6</v>
      </c>
      <c r="D167" t="s">
        <v>39</v>
      </c>
      <c r="E167" t="s">
        <v>24</v>
      </c>
      <c r="F167" s="2">
        <v>2989</v>
      </c>
      <c r="G167" s="3">
        <v>3</v>
      </c>
    </row>
    <row r="168" spans="3:7" x14ac:dyDescent="0.25">
      <c r="C168" t="s">
        <v>9</v>
      </c>
      <c r="D168" t="s">
        <v>36</v>
      </c>
      <c r="E168" t="s">
        <v>32</v>
      </c>
      <c r="F168" s="2">
        <v>2954</v>
      </c>
      <c r="G168" s="3">
        <v>189</v>
      </c>
    </row>
    <row r="169" spans="3:7" x14ac:dyDescent="0.25">
      <c r="C169" t="s">
        <v>41</v>
      </c>
      <c r="D169" t="s">
        <v>37</v>
      </c>
      <c r="E169" t="s">
        <v>21</v>
      </c>
      <c r="F169" s="2">
        <v>2933</v>
      </c>
      <c r="G169" s="3">
        <v>9</v>
      </c>
    </row>
    <row r="170" spans="3:7" x14ac:dyDescent="0.25">
      <c r="C170" t="s">
        <v>3</v>
      </c>
      <c r="D170" t="s">
        <v>34</v>
      </c>
      <c r="E170" t="s">
        <v>17</v>
      </c>
      <c r="F170" s="2">
        <v>2919</v>
      </c>
      <c r="G170" s="3">
        <v>93</v>
      </c>
    </row>
    <row r="171" spans="3:7" x14ac:dyDescent="0.25">
      <c r="C171" t="s">
        <v>9</v>
      </c>
      <c r="D171" t="s">
        <v>37</v>
      </c>
      <c r="E171" t="s">
        <v>28</v>
      </c>
      <c r="F171" s="2">
        <v>2919</v>
      </c>
      <c r="G171" s="3">
        <v>45</v>
      </c>
    </row>
    <row r="172" spans="3:7" x14ac:dyDescent="0.25">
      <c r="C172" t="s">
        <v>5</v>
      </c>
      <c r="D172" t="s">
        <v>34</v>
      </c>
      <c r="E172" t="s">
        <v>29</v>
      </c>
      <c r="F172" s="2">
        <v>2891</v>
      </c>
      <c r="G172" s="3">
        <v>102</v>
      </c>
    </row>
    <row r="173" spans="3:7" x14ac:dyDescent="0.25">
      <c r="C173" t="s">
        <v>7</v>
      </c>
      <c r="D173" t="s">
        <v>36</v>
      </c>
      <c r="E173" t="s">
        <v>19</v>
      </c>
      <c r="F173" s="2">
        <v>2870</v>
      </c>
      <c r="G173" s="3">
        <v>300</v>
      </c>
    </row>
    <row r="174" spans="3:7" x14ac:dyDescent="0.25">
      <c r="C174" t="s">
        <v>2</v>
      </c>
      <c r="D174" t="s">
        <v>37</v>
      </c>
      <c r="E174" t="s">
        <v>15</v>
      </c>
      <c r="F174" s="2">
        <v>2863</v>
      </c>
      <c r="G174" s="3">
        <v>42</v>
      </c>
    </row>
    <row r="175" spans="3:7" x14ac:dyDescent="0.25">
      <c r="C175" t="s">
        <v>9</v>
      </c>
      <c r="D175" t="s">
        <v>37</v>
      </c>
      <c r="E175" t="s">
        <v>26</v>
      </c>
      <c r="F175" s="2">
        <v>2856</v>
      </c>
      <c r="G175" s="3">
        <v>246</v>
      </c>
    </row>
    <row r="176" spans="3:7" x14ac:dyDescent="0.25">
      <c r="C176" t="s">
        <v>7</v>
      </c>
      <c r="D176" t="s">
        <v>35</v>
      </c>
      <c r="E176" t="s">
        <v>24</v>
      </c>
      <c r="F176" s="2">
        <v>2793</v>
      </c>
      <c r="G176" s="3">
        <v>114</v>
      </c>
    </row>
    <row r="177" spans="3:7" x14ac:dyDescent="0.25">
      <c r="C177" t="s">
        <v>40</v>
      </c>
      <c r="D177" t="s">
        <v>34</v>
      </c>
      <c r="E177" t="s">
        <v>23</v>
      </c>
      <c r="F177" s="2">
        <v>2779</v>
      </c>
      <c r="G177" s="3">
        <v>75</v>
      </c>
    </row>
    <row r="178" spans="3:7" x14ac:dyDescent="0.25">
      <c r="C178" t="s">
        <v>5</v>
      </c>
      <c r="D178" t="s">
        <v>35</v>
      </c>
      <c r="E178" t="s">
        <v>4</v>
      </c>
      <c r="F178" s="2">
        <v>2744</v>
      </c>
      <c r="G178" s="3">
        <v>9</v>
      </c>
    </row>
    <row r="179" spans="3:7" x14ac:dyDescent="0.25">
      <c r="C179" t="s">
        <v>9</v>
      </c>
      <c r="D179" t="s">
        <v>37</v>
      </c>
      <c r="E179" t="s">
        <v>23</v>
      </c>
      <c r="F179" s="2">
        <v>2737</v>
      </c>
      <c r="G179" s="3">
        <v>93</v>
      </c>
    </row>
    <row r="180" spans="3:7" x14ac:dyDescent="0.25">
      <c r="C180" t="s">
        <v>8</v>
      </c>
      <c r="D180" t="s">
        <v>35</v>
      </c>
      <c r="E180" t="s">
        <v>20</v>
      </c>
      <c r="F180" s="2">
        <v>2702</v>
      </c>
      <c r="G180" s="3">
        <v>363</v>
      </c>
    </row>
    <row r="181" spans="3:7" x14ac:dyDescent="0.25">
      <c r="C181" t="s">
        <v>6</v>
      </c>
      <c r="D181" t="s">
        <v>38</v>
      </c>
      <c r="E181" t="s">
        <v>31</v>
      </c>
      <c r="F181" s="2">
        <v>2681</v>
      </c>
      <c r="G181" s="3">
        <v>54</v>
      </c>
    </row>
    <row r="182" spans="3:7" x14ac:dyDescent="0.25">
      <c r="C182" t="s">
        <v>7</v>
      </c>
      <c r="D182" t="s">
        <v>36</v>
      </c>
      <c r="E182" t="s">
        <v>18</v>
      </c>
      <c r="F182" s="2">
        <v>2646</v>
      </c>
      <c r="G182" s="3">
        <v>177</v>
      </c>
    </row>
    <row r="183" spans="3:7" x14ac:dyDescent="0.25">
      <c r="C183" t="s">
        <v>9</v>
      </c>
      <c r="D183" t="s">
        <v>38</v>
      </c>
      <c r="E183" t="s">
        <v>16</v>
      </c>
      <c r="F183" s="2">
        <v>2646</v>
      </c>
      <c r="G183" s="3">
        <v>120</v>
      </c>
    </row>
    <row r="184" spans="3:7" x14ac:dyDescent="0.25">
      <c r="C184" t="s">
        <v>9</v>
      </c>
      <c r="D184" t="s">
        <v>39</v>
      </c>
      <c r="E184" t="s">
        <v>18</v>
      </c>
      <c r="F184" s="2">
        <v>2639</v>
      </c>
      <c r="G184" s="3">
        <v>204</v>
      </c>
    </row>
    <row r="185" spans="3:7" x14ac:dyDescent="0.25">
      <c r="C185" t="s">
        <v>3</v>
      </c>
      <c r="D185" t="s">
        <v>34</v>
      </c>
      <c r="E185" t="s">
        <v>20</v>
      </c>
      <c r="F185" s="2">
        <v>2583</v>
      </c>
      <c r="G185" s="3">
        <v>18</v>
      </c>
    </row>
    <row r="186" spans="3:7" x14ac:dyDescent="0.25">
      <c r="C186" t="s">
        <v>10</v>
      </c>
      <c r="D186" t="s">
        <v>35</v>
      </c>
      <c r="E186" t="s">
        <v>15</v>
      </c>
      <c r="F186" s="2">
        <v>2562</v>
      </c>
      <c r="G186" s="3">
        <v>6</v>
      </c>
    </row>
    <row r="187" spans="3:7" x14ac:dyDescent="0.25">
      <c r="C187" t="s">
        <v>40</v>
      </c>
      <c r="D187" t="s">
        <v>38</v>
      </c>
      <c r="E187" t="s">
        <v>25</v>
      </c>
      <c r="F187" s="2">
        <v>2541</v>
      </c>
      <c r="G187" s="3">
        <v>90</v>
      </c>
    </row>
    <row r="188" spans="3:7" x14ac:dyDescent="0.25">
      <c r="C188" t="s">
        <v>40</v>
      </c>
      <c r="D188" t="s">
        <v>38</v>
      </c>
      <c r="E188" t="s">
        <v>29</v>
      </c>
      <c r="F188" s="2">
        <v>2541</v>
      </c>
      <c r="G188" s="3">
        <v>45</v>
      </c>
    </row>
    <row r="189" spans="3:7" x14ac:dyDescent="0.25">
      <c r="C189" t="s">
        <v>7</v>
      </c>
      <c r="D189" t="s">
        <v>35</v>
      </c>
      <c r="E189" t="s">
        <v>27</v>
      </c>
      <c r="F189" s="2">
        <v>2478</v>
      </c>
      <c r="G189" s="3">
        <v>21</v>
      </c>
    </row>
    <row r="190" spans="3:7" x14ac:dyDescent="0.25">
      <c r="C190" t="s">
        <v>10</v>
      </c>
      <c r="D190" t="s">
        <v>36</v>
      </c>
      <c r="E190" t="s">
        <v>29</v>
      </c>
      <c r="F190" s="2">
        <v>2471</v>
      </c>
      <c r="G190" s="3">
        <v>342</v>
      </c>
    </row>
    <row r="191" spans="3:7" x14ac:dyDescent="0.25">
      <c r="C191" t="s">
        <v>3</v>
      </c>
      <c r="D191" t="s">
        <v>35</v>
      </c>
      <c r="E191" t="s">
        <v>25</v>
      </c>
      <c r="F191" s="2">
        <v>2464</v>
      </c>
      <c r="G191" s="3">
        <v>234</v>
      </c>
    </row>
    <row r="192" spans="3:7" x14ac:dyDescent="0.25">
      <c r="C192" t="s">
        <v>9</v>
      </c>
      <c r="D192" t="s">
        <v>38</v>
      </c>
      <c r="E192" t="s">
        <v>26</v>
      </c>
      <c r="F192" s="2">
        <v>2436</v>
      </c>
      <c r="G192" s="3">
        <v>99</v>
      </c>
    </row>
    <row r="193" spans="3:7" x14ac:dyDescent="0.25">
      <c r="C193" t="s">
        <v>9</v>
      </c>
      <c r="D193" t="s">
        <v>35</v>
      </c>
      <c r="E193" t="s">
        <v>27</v>
      </c>
      <c r="F193" s="2">
        <v>2429</v>
      </c>
      <c r="G193" s="3">
        <v>144</v>
      </c>
    </row>
    <row r="194" spans="3:7" x14ac:dyDescent="0.25">
      <c r="C194" t="s">
        <v>3</v>
      </c>
      <c r="D194" t="s">
        <v>35</v>
      </c>
      <c r="E194" t="s">
        <v>14</v>
      </c>
      <c r="F194" s="2">
        <v>2415</v>
      </c>
      <c r="G194" s="3">
        <v>255</v>
      </c>
    </row>
    <row r="195" spans="3:7" x14ac:dyDescent="0.25">
      <c r="C195" t="s">
        <v>5</v>
      </c>
      <c r="D195" t="s">
        <v>35</v>
      </c>
      <c r="E195" t="s">
        <v>18</v>
      </c>
      <c r="F195" s="2">
        <v>2415</v>
      </c>
      <c r="G195" s="3">
        <v>15</v>
      </c>
    </row>
    <row r="196" spans="3:7" x14ac:dyDescent="0.25">
      <c r="C196" t="s">
        <v>9</v>
      </c>
      <c r="D196" t="s">
        <v>38</v>
      </c>
      <c r="E196" t="s">
        <v>17</v>
      </c>
      <c r="F196" s="2">
        <v>2408</v>
      </c>
      <c r="G196" s="3">
        <v>9</v>
      </c>
    </row>
    <row r="197" spans="3:7" x14ac:dyDescent="0.25">
      <c r="C197" t="s">
        <v>41</v>
      </c>
      <c r="D197" t="s">
        <v>37</v>
      </c>
      <c r="E197" t="s">
        <v>26</v>
      </c>
      <c r="F197" s="2">
        <v>2324</v>
      </c>
      <c r="G197" s="3">
        <v>177</v>
      </c>
    </row>
    <row r="198" spans="3:7" x14ac:dyDescent="0.25">
      <c r="C198" t="s">
        <v>10</v>
      </c>
      <c r="D198" t="s">
        <v>36</v>
      </c>
      <c r="E198" t="s">
        <v>23</v>
      </c>
      <c r="F198" s="2">
        <v>2317</v>
      </c>
      <c r="G198" s="3">
        <v>261</v>
      </c>
    </row>
    <row r="199" spans="3:7" x14ac:dyDescent="0.25">
      <c r="C199" t="s">
        <v>6</v>
      </c>
      <c r="D199" t="s">
        <v>38</v>
      </c>
      <c r="E199" t="s">
        <v>13</v>
      </c>
      <c r="F199" s="2">
        <v>2317</v>
      </c>
      <c r="G199" s="3">
        <v>123</v>
      </c>
    </row>
    <row r="200" spans="3:7" x14ac:dyDescent="0.25">
      <c r="C200" t="s">
        <v>40</v>
      </c>
      <c r="D200" t="s">
        <v>34</v>
      </c>
      <c r="E200" t="s">
        <v>27</v>
      </c>
      <c r="F200" s="2">
        <v>2289</v>
      </c>
      <c r="G200" s="3">
        <v>135</v>
      </c>
    </row>
    <row r="201" spans="3:7" x14ac:dyDescent="0.25">
      <c r="C201" t="s">
        <v>40</v>
      </c>
      <c r="D201" t="s">
        <v>35</v>
      </c>
      <c r="E201" t="s">
        <v>30</v>
      </c>
      <c r="F201" s="2">
        <v>2275</v>
      </c>
      <c r="G201" s="3">
        <v>447</v>
      </c>
    </row>
    <row r="202" spans="3:7" x14ac:dyDescent="0.25">
      <c r="C202" t="s">
        <v>8</v>
      </c>
      <c r="D202" t="s">
        <v>38</v>
      </c>
      <c r="E202" t="s">
        <v>27</v>
      </c>
      <c r="F202" s="2">
        <v>2268</v>
      </c>
      <c r="G202" s="3">
        <v>63</v>
      </c>
    </row>
    <row r="203" spans="3:7" x14ac:dyDescent="0.25">
      <c r="C203" t="s">
        <v>7</v>
      </c>
      <c r="D203" t="s">
        <v>34</v>
      </c>
      <c r="E203" t="s">
        <v>33</v>
      </c>
      <c r="F203" s="2">
        <v>2226</v>
      </c>
      <c r="G203" s="3">
        <v>48</v>
      </c>
    </row>
    <row r="204" spans="3:7" x14ac:dyDescent="0.25">
      <c r="C204" t="s">
        <v>6</v>
      </c>
      <c r="D204" t="s">
        <v>34</v>
      </c>
      <c r="E204" t="s">
        <v>16</v>
      </c>
      <c r="F204" s="2">
        <v>2219</v>
      </c>
      <c r="G204" s="3">
        <v>75</v>
      </c>
    </row>
    <row r="205" spans="3:7" x14ac:dyDescent="0.25">
      <c r="C205" t="s">
        <v>3</v>
      </c>
      <c r="D205" t="s">
        <v>34</v>
      </c>
      <c r="E205" t="s">
        <v>23</v>
      </c>
      <c r="F205" s="2">
        <v>2212</v>
      </c>
      <c r="G205" s="3">
        <v>117</v>
      </c>
    </row>
    <row r="206" spans="3:7" x14ac:dyDescent="0.25">
      <c r="C206" t="s">
        <v>10</v>
      </c>
      <c r="D206" t="s">
        <v>38</v>
      </c>
      <c r="E206" t="s">
        <v>22</v>
      </c>
      <c r="F206" s="2">
        <v>2205</v>
      </c>
      <c r="G206" s="3">
        <v>141</v>
      </c>
    </row>
    <row r="207" spans="3:7" x14ac:dyDescent="0.25">
      <c r="C207" t="s">
        <v>7</v>
      </c>
      <c r="D207" t="s">
        <v>34</v>
      </c>
      <c r="E207" t="s">
        <v>20</v>
      </c>
      <c r="F207" s="2">
        <v>2205</v>
      </c>
      <c r="G207" s="3">
        <v>138</v>
      </c>
    </row>
    <row r="208" spans="3:7" x14ac:dyDescent="0.25">
      <c r="C208" t="s">
        <v>7</v>
      </c>
      <c r="D208" t="s">
        <v>36</v>
      </c>
      <c r="E208" t="s">
        <v>31</v>
      </c>
      <c r="F208" s="2">
        <v>2149</v>
      </c>
      <c r="G208" s="3">
        <v>117</v>
      </c>
    </row>
    <row r="209" spans="3:7" x14ac:dyDescent="0.25">
      <c r="C209" t="s">
        <v>9</v>
      </c>
      <c r="D209" t="s">
        <v>36</v>
      </c>
      <c r="E209" t="s">
        <v>25</v>
      </c>
      <c r="F209" s="2">
        <v>2142</v>
      </c>
      <c r="G209" s="3">
        <v>114</v>
      </c>
    </row>
    <row r="210" spans="3:7" x14ac:dyDescent="0.25">
      <c r="C210" t="s">
        <v>7</v>
      </c>
      <c r="D210" t="s">
        <v>35</v>
      </c>
      <c r="E210" t="s">
        <v>16</v>
      </c>
      <c r="F210" s="2">
        <v>2135</v>
      </c>
      <c r="G210" s="3">
        <v>27</v>
      </c>
    </row>
    <row r="211" spans="3:7" x14ac:dyDescent="0.25">
      <c r="C211" t="s">
        <v>41</v>
      </c>
      <c r="D211" t="s">
        <v>35</v>
      </c>
      <c r="E211" t="s">
        <v>15</v>
      </c>
      <c r="F211" s="2">
        <v>2114</v>
      </c>
      <c r="G211" s="3">
        <v>186</v>
      </c>
    </row>
    <row r="212" spans="3:7" x14ac:dyDescent="0.25">
      <c r="C212" t="s">
        <v>3</v>
      </c>
      <c r="D212" t="s">
        <v>35</v>
      </c>
      <c r="E212" t="s">
        <v>29</v>
      </c>
      <c r="F212" s="2">
        <v>2114</v>
      </c>
      <c r="G212" s="3">
        <v>66</v>
      </c>
    </row>
    <row r="213" spans="3:7" x14ac:dyDescent="0.25">
      <c r="C213" t="s">
        <v>6</v>
      </c>
      <c r="D213" t="s">
        <v>39</v>
      </c>
      <c r="E213" t="s">
        <v>25</v>
      </c>
      <c r="F213" s="2">
        <v>2100</v>
      </c>
      <c r="G213" s="3">
        <v>414</v>
      </c>
    </row>
    <row r="214" spans="3:7" x14ac:dyDescent="0.25">
      <c r="C214" t="s">
        <v>8</v>
      </c>
      <c r="D214" t="s">
        <v>35</v>
      </c>
      <c r="E214" t="s">
        <v>29</v>
      </c>
      <c r="F214" s="2">
        <v>2023</v>
      </c>
      <c r="G214" s="3">
        <v>168</v>
      </c>
    </row>
    <row r="215" spans="3:7" x14ac:dyDescent="0.25">
      <c r="C215" t="s">
        <v>3</v>
      </c>
      <c r="D215" t="s">
        <v>35</v>
      </c>
      <c r="E215" t="s">
        <v>23</v>
      </c>
      <c r="F215" s="2">
        <v>2023</v>
      </c>
      <c r="G215" s="3">
        <v>78</v>
      </c>
    </row>
    <row r="216" spans="3:7" x14ac:dyDescent="0.25">
      <c r="C216" t="s">
        <v>2</v>
      </c>
      <c r="D216" t="s">
        <v>39</v>
      </c>
      <c r="E216" t="s">
        <v>16</v>
      </c>
      <c r="F216" s="2">
        <v>2016</v>
      </c>
      <c r="G216" s="3">
        <v>117</v>
      </c>
    </row>
    <row r="217" spans="3:7" x14ac:dyDescent="0.25">
      <c r="C217" t="s">
        <v>8</v>
      </c>
      <c r="D217" t="s">
        <v>34</v>
      </c>
      <c r="E217" t="s">
        <v>16</v>
      </c>
      <c r="F217" s="2">
        <v>2009</v>
      </c>
      <c r="G217" s="3">
        <v>219</v>
      </c>
    </row>
    <row r="218" spans="3:7" x14ac:dyDescent="0.25">
      <c r="C218" t="s">
        <v>40</v>
      </c>
      <c r="D218" t="s">
        <v>38</v>
      </c>
      <c r="E218" t="s">
        <v>31</v>
      </c>
      <c r="F218" s="2">
        <v>1988</v>
      </c>
      <c r="G218" s="3">
        <v>39</v>
      </c>
    </row>
    <row r="219" spans="3:7" x14ac:dyDescent="0.25">
      <c r="C219" t="s">
        <v>10</v>
      </c>
      <c r="D219" t="s">
        <v>35</v>
      </c>
      <c r="E219" t="s">
        <v>20</v>
      </c>
      <c r="F219" s="2">
        <v>1974</v>
      </c>
      <c r="G219" s="3">
        <v>195</v>
      </c>
    </row>
    <row r="220" spans="3:7" x14ac:dyDescent="0.25">
      <c r="C220" t="s">
        <v>7</v>
      </c>
      <c r="D220" t="s">
        <v>34</v>
      </c>
      <c r="E220" t="s">
        <v>14</v>
      </c>
      <c r="F220" s="2">
        <v>1932</v>
      </c>
      <c r="G220" s="3">
        <v>369</v>
      </c>
    </row>
    <row r="221" spans="3:7" x14ac:dyDescent="0.25">
      <c r="C221" t="s">
        <v>41</v>
      </c>
      <c r="D221" t="s">
        <v>36</v>
      </c>
      <c r="E221" t="s">
        <v>19</v>
      </c>
      <c r="F221" s="2">
        <v>1925</v>
      </c>
      <c r="G221" s="3">
        <v>192</v>
      </c>
    </row>
    <row r="222" spans="3:7" x14ac:dyDescent="0.25">
      <c r="C222" t="s">
        <v>6</v>
      </c>
      <c r="D222" t="s">
        <v>37</v>
      </c>
      <c r="E222" t="s">
        <v>16</v>
      </c>
      <c r="F222" s="2">
        <v>1904</v>
      </c>
      <c r="G222" s="3">
        <v>405</v>
      </c>
    </row>
    <row r="223" spans="3:7" x14ac:dyDescent="0.25">
      <c r="C223" t="s">
        <v>8</v>
      </c>
      <c r="D223" t="s">
        <v>37</v>
      </c>
      <c r="E223" t="s">
        <v>22</v>
      </c>
      <c r="F223" s="2">
        <v>1890</v>
      </c>
      <c r="G223" s="3">
        <v>195</v>
      </c>
    </row>
    <row r="224" spans="3:7" x14ac:dyDescent="0.25">
      <c r="C224" t="s">
        <v>2</v>
      </c>
      <c r="D224" t="s">
        <v>39</v>
      </c>
      <c r="E224" t="s">
        <v>25</v>
      </c>
      <c r="F224" s="2">
        <v>1785</v>
      </c>
      <c r="G224" s="3">
        <v>462</v>
      </c>
    </row>
    <row r="225" spans="3:7" x14ac:dyDescent="0.25">
      <c r="C225" t="s">
        <v>7</v>
      </c>
      <c r="D225" t="s">
        <v>38</v>
      </c>
      <c r="E225" t="s">
        <v>18</v>
      </c>
      <c r="F225" s="2">
        <v>1778</v>
      </c>
      <c r="G225" s="3">
        <v>270</v>
      </c>
    </row>
    <row r="226" spans="3:7" x14ac:dyDescent="0.25">
      <c r="C226" t="s">
        <v>8</v>
      </c>
      <c r="D226" t="s">
        <v>37</v>
      </c>
      <c r="E226" t="s">
        <v>19</v>
      </c>
      <c r="F226" s="2">
        <v>1771</v>
      </c>
      <c r="G226" s="3">
        <v>204</v>
      </c>
    </row>
    <row r="227" spans="3:7" x14ac:dyDescent="0.25">
      <c r="C227" t="s">
        <v>8</v>
      </c>
      <c r="D227" t="s">
        <v>38</v>
      </c>
      <c r="E227" t="s">
        <v>23</v>
      </c>
      <c r="F227" s="2">
        <v>1701</v>
      </c>
      <c r="G227" s="3">
        <v>234</v>
      </c>
    </row>
    <row r="228" spans="3:7" x14ac:dyDescent="0.25">
      <c r="C228" t="s">
        <v>3</v>
      </c>
      <c r="D228" t="s">
        <v>39</v>
      </c>
      <c r="E228" t="s">
        <v>28</v>
      </c>
      <c r="F228" s="2">
        <v>1652</v>
      </c>
      <c r="G228" s="3">
        <v>102</v>
      </c>
    </row>
    <row r="229" spans="3:7" x14ac:dyDescent="0.25">
      <c r="C229" t="s">
        <v>5</v>
      </c>
      <c r="D229" t="s">
        <v>34</v>
      </c>
      <c r="E229" t="s">
        <v>33</v>
      </c>
      <c r="F229" s="2">
        <v>1652</v>
      </c>
      <c r="G229" s="3">
        <v>93</v>
      </c>
    </row>
    <row r="230" spans="3:7" x14ac:dyDescent="0.25">
      <c r="C230" t="s">
        <v>6</v>
      </c>
      <c r="D230" t="s">
        <v>39</v>
      </c>
      <c r="E230" t="s">
        <v>30</v>
      </c>
      <c r="F230" s="2">
        <v>1638</v>
      </c>
      <c r="G230" s="3">
        <v>63</v>
      </c>
    </row>
    <row r="231" spans="3:7" x14ac:dyDescent="0.25">
      <c r="C231" t="s">
        <v>40</v>
      </c>
      <c r="D231" t="s">
        <v>35</v>
      </c>
      <c r="E231" t="s">
        <v>24</v>
      </c>
      <c r="F231" s="2">
        <v>1638</v>
      </c>
      <c r="G231" s="3">
        <v>48</v>
      </c>
    </row>
    <row r="232" spans="3:7" x14ac:dyDescent="0.25">
      <c r="C232" t="s">
        <v>40</v>
      </c>
      <c r="D232" t="s">
        <v>37</v>
      </c>
      <c r="E232" t="s">
        <v>30</v>
      </c>
      <c r="F232" s="2">
        <v>1624</v>
      </c>
      <c r="G232" s="3">
        <v>114</v>
      </c>
    </row>
    <row r="233" spans="3:7" x14ac:dyDescent="0.25">
      <c r="C233" t="s">
        <v>40</v>
      </c>
      <c r="D233" t="s">
        <v>35</v>
      </c>
      <c r="E233" t="s">
        <v>29</v>
      </c>
      <c r="F233" s="2">
        <v>1617</v>
      </c>
      <c r="G233" s="3">
        <v>126</v>
      </c>
    </row>
    <row r="234" spans="3:7" x14ac:dyDescent="0.25">
      <c r="C234" t="s">
        <v>2</v>
      </c>
      <c r="D234" t="s">
        <v>35</v>
      </c>
      <c r="E234" t="s">
        <v>17</v>
      </c>
      <c r="F234" s="2">
        <v>1589</v>
      </c>
      <c r="G234" s="3">
        <v>303</v>
      </c>
    </row>
    <row r="235" spans="3:7" x14ac:dyDescent="0.25">
      <c r="C235" t="s">
        <v>2</v>
      </c>
      <c r="D235" t="s">
        <v>39</v>
      </c>
      <c r="E235" t="s">
        <v>22</v>
      </c>
      <c r="F235" s="2">
        <v>1568</v>
      </c>
      <c r="G235" s="3">
        <v>141</v>
      </c>
    </row>
    <row r="236" spans="3:7" x14ac:dyDescent="0.25">
      <c r="C236" t="s">
        <v>7</v>
      </c>
      <c r="D236" t="s">
        <v>34</v>
      </c>
      <c r="E236" t="s">
        <v>25</v>
      </c>
      <c r="F236" s="2">
        <v>1568</v>
      </c>
      <c r="G236" s="3">
        <v>96</v>
      </c>
    </row>
    <row r="237" spans="3:7" x14ac:dyDescent="0.25">
      <c r="C237" t="s">
        <v>8</v>
      </c>
      <c r="D237" t="s">
        <v>39</v>
      </c>
      <c r="E237" t="s">
        <v>26</v>
      </c>
      <c r="F237" s="2">
        <v>1561</v>
      </c>
      <c r="G237" s="3">
        <v>27</v>
      </c>
    </row>
    <row r="238" spans="3:7" x14ac:dyDescent="0.25">
      <c r="C238" t="s">
        <v>41</v>
      </c>
      <c r="D238" t="s">
        <v>37</v>
      </c>
      <c r="E238" t="s">
        <v>30</v>
      </c>
      <c r="F238" s="2">
        <v>1526</v>
      </c>
      <c r="G238" s="3">
        <v>240</v>
      </c>
    </row>
    <row r="239" spans="3:7" x14ac:dyDescent="0.25">
      <c r="C239" t="s">
        <v>5</v>
      </c>
      <c r="D239" t="s">
        <v>36</v>
      </c>
      <c r="E239" t="s">
        <v>30</v>
      </c>
      <c r="F239" s="2">
        <v>1526</v>
      </c>
      <c r="G239" s="3">
        <v>105</v>
      </c>
    </row>
    <row r="240" spans="3:7" x14ac:dyDescent="0.25">
      <c r="C240" t="s">
        <v>6</v>
      </c>
      <c r="D240" t="s">
        <v>37</v>
      </c>
      <c r="E240" t="s">
        <v>18</v>
      </c>
      <c r="F240" s="2">
        <v>1505</v>
      </c>
      <c r="G240" s="3">
        <v>102</v>
      </c>
    </row>
    <row r="241" spans="3:7" x14ac:dyDescent="0.25">
      <c r="C241" t="s">
        <v>41</v>
      </c>
      <c r="D241" t="s">
        <v>34</v>
      </c>
      <c r="E241" t="s">
        <v>17</v>
      </c>
      <c r="F241" s="2">
        <v>1463</v>
      </c>
      <c r="G241" s="3">
        <v>39</v>
      </c>
    </row>
    <row r="242" spans="3:7" x14ac:dyDescent="0.25">
      <c r="C242" t="s">
        <v>6</v>
      </c>
      <c r="D242" t="s">
        <v>34</v>
      </c>
      <c r="E242" t="s">
        <v>15</v>
      </c>
      <c r="F242" s="2">
        <v>1442</v>
      </c>
      <c r="G242" s="3">
        <v>15</v>
      </c>
    </row>
    <row r="243" spans="3:7" x14ac:dyDescent="0.25">
      <c r="C243" t="s">
        <v>10</v>
      </c>
      <c r="D243" t="s">
        <v>34</v>
      </c>
      <c r="E243" t="s">
        <v>25</v>
      </c>
      <c r="F243" s="2">
        <v>1428</v>
      </c>
      <c r="G243" s="3">
        <v>93</v>
      </c>
    </row>
    <row r="244" spans="3:7" x14ac:dyDescent="0.25">
      <c r="C244" t="s">
        <v>10</v>
      </c>
      <c r="D244" t="s">
        <v>36</v>
      </c>
      <c r="E244" t="s">
        <v>27</v>
      </c>
      <c r="F244" s="2">
        <v>1407</v>
      </c>
      <c r="G244" s="3">
        <v>72</v>
      </c>
    </row>
    <row r="245" spans="3:7" x14ac:dyDescent="0.25">
      <c r="C245" t="s">
        <v>6</v>
      </c>
      <c r="D245" t="s">
        <v>36</v>
      </c>
      <c r="E245" t="s">
        <v>29</v>
      </c>
      <c r="F245" s="2">
        <v>1400</v>
      </c>
      <c r="G245" s="3">
        <v>135</v>
      </c>
    </row>
    <row r="246" spans="3:7" x14ac:dyDescent="0.25">
      <c r="C246" t="s">
        <v>6</v>
      </c>
      <c r="D246" t="s">
        <v>35</v>
      </c>
      <c r="E246" t="s">
        <v>4</v>
      </c>
      <c r="F246" s="2">
        <v>1302</v>
      </c>
      <c r="G246" s="3">
        <v>402</v>
      </c>
    </row>
    <row r="247" spans="3:7" x14ac:dyDescent="0.25">
      <c r="C247" t="s">
        <v>7</v>
      </c>
      <c r="D247" t="s">
        <v>38</v>
      </c>
      <c r="E247" t="s">
        <v>14</v>
      </c>
      <c r="F247" s="2">
        <v>1281</v>
      </c>
      <c r="G247" s="3">
        <v>75</v>
      </c>
    </row>
    <row r="248" spans="3:7" x14ac:dyDescent="0.25">
      <c r="C248" t="s">
        <v>3</v>
      </c>
      <c r="D248" t="s">
        <v>36</v>
      </c>
      <c r="E248" t="s">
        <v>19</v>
      </c>
      <c r="F248" s="2">
        <v>1281</v>
      </c>
      <c r="G248" s="3">
        <v>18</v>
      </c>
    </row>
    <row r="249" spans="3:7" x14ac:dyDescent="0.25">
      <c r="C249" t="s">
        <v>41</v>
      </c>
      <c r="D249" t="s">
        <v>34</v>
      </c>
      <c r="E249" t="s">
        <v>16</v>
      </c>
      <c r="F249" s="2">
        <v>1274</v>
      </c>
      <c r="G249" s="3">
        <v>225</v>
      </c>
    </row>
    <row r="250" spans="3:7" x14ac:dyDescent="0.25">
      <c r="C250" t="s">
        <v>6</v>
      </c>
      <c r="D250" t="s">
        <v>38</v>
      </c>
      <c r="E250" t="s">
        <v>27</v>
      </c>
      <c r="F250" s="2">
        <v>1134</v>
      </c>
      <c r="G250" s="3">
        <v>282</v>
      </c>
    </row>
    <row r="251" spans="3:7" x14ac:dyDescent="0.25">
      <c r="C251" t="s">
        <v>9</v>
      </c>
      <c r="D251" t="s">
        <v>37</v>
      </c>
      <c r="E251" t="s">
        <v>29</v>
      </c>
      <c r="F251" s="2">
        <v>1085</v>
      </c>
      <c r="G251" s="3">
        <v>273</v>
      </c>
    </row>
    <row r="252" spans="3:7" x14ac:dyDescent="0.25">
      <c r="C252" t="s">
        <v>6</v>
      </c>
      <c r="D252" t="s">
        <v>35</v>
      </c>
      <c r="E252" t="s">
        <v>20</v>
      </c>
      <c r="F252" s="2">
        <v>1071</v>
      </c>
      <c r="G252" s="3">
        <v>270</v>
      </c>
    </row>
    <row r="253" spans="3:7" x14ac:dyDescent="0.25">
      <c r="C253" t="s">
        <v>2</v>
      </c>
      <c r="D253" t="s">
        <v>37</v>
      </c>
      <c r="E253" t="s">
        <v>14</v>
      </c>
      <c r="F253" s="2">
        <v>1057</v>
      </c>
      <c r="G253" s="3">
        <v>54</v>
      </c>
    </row>
    <row r="254" spans="3:7" x14ac:dyDescent="0.25">
      <c r="C254" t="s">
        <v>3</v>
      </c>
      <c r="D254" t="s">
        <v>36</v>
      </c>
      <c r="E254" t="s">
        <v>28</v>
      </c>
      <c r="F254" s="2">
        <v>973</v>
      </c>
      <c r="G254" s="3">
        <v>162</v>
      </c>
    </row>
    <row r="255" spans="3:7" x14ac:dyDescent="0.25">
      <c r="C255" t="s">
        <v>7</v>
      </c>
      <c r="D255" t="s">
        <v>39</v>
      </c>
      <c r="E255" t="s">
        <v>27</v>
      </c>
      <c r="F255" s="2">
        <v>966</v>
      </c>
      <c r="G255" s="3">
        <v>198</v>
      </c>
    </row>
    <row r="256" spans="3:7" x14ac:dyDescent="0.25">
      <c r="C256" t="s">
        <v>9</v>
      </c>
      <c r="D256" t="s">
        <v>35</v>
      </c>
      <c r="E256" t="s">
        <v>4</v>
      </c>
      <c r="F256" s="2">
        <v>959</v>
      </c>
      <c r="G256" s="3">
        <v>147</v>
      </c>
    </row>
    <row r="257" spans="3:7" x14ac:dyDescent="0.25">
      <c r="C257" t="s">
        <v>6</v>
      </c>
      <c r="D257" t="s">
        <v>38</v>
      </c>
      <c r="E257" t="s">
        <v>33</v>
      </c>
      <c r="F257" s="2">
        <v>959</v>
      </c>
      <c r="G257" s="3">
        <v>135</v>
      </c>
    </row>
    <row r="258" spans="3:7" x14ac:dyDescent="0.25">
      <c r="C258" t="s">
        <v>10</v>
      </c>
      <c r="D258" t="s">
        <v>36</v>
      </c>
      <c r="E258" t="s">
        <v>13</v>
      </c>
      <c r="F258" s="2">
        <v>945</v>
      </c>
      <c r="G258" s="3">
        <v>75</v>
      </c>
    </row>
    <row r="259" spans="3:7" x14ac:dyDescent="0.25">
      <c r="C259" t="s">
        <v>3</v>
      </c>
      <c r="D259" t="s">
        <v>37</v>
      </c>
      <c r="E259" t="s">
        <v>4</v>
      </c>
      <c r="F259" s="2">
        <v>938</v>
      </c>
      <c r="G259" s="3">
        <v>366</v>
      </c>
    </row>
    <row r="260" spans="3:7" x14ac:dyDescent="0.25">
      <c r="C260" t="s">
        <v>9</v>
      </c>
      <c r="D260" t="s">
        <v>34</v>
      </c>
      <c r="E260" t="s">
        <v>16</v>
      </c>
      <c r="F260" s="2">
        <v>938</v>
      </c>
      <c r="G260" s="3">
        <v>189</v>
      </c>
    </row>
    <row r="261" spans="3:7" x14ac:dyDescent="0.25">
      <c r="C261" t="s">
        <v>6</v>
      </c>
      <c r="D261" t="s">
        <v>38</v>
      </c>
      <c r="E261" t="s">
        <v>16</v>
      </c>
      <c r="F261" s="2">
        <v>938</v>
      </c>
      <c r="G261" s="3">
        <v>6</v>
      </c>
    </row>
    <row r="262" spans="3:7" x14ac:dyDescent="0.25">
      <c r="C262" t="s">
        <v>5</v>
      </c>
      <c r="D262" t="s">
        <v>34</v>
      </c>
      <c r="E262" t="s">
        <v>19</v>
      </c>
      <c r="F262" s="2">
        <v>861</v>
      </c>
      <c r="G262" s="3">
        <v>195</v>
      </c>
    </row>
    <row r="263" spans="3:7" x14ac:dyDescent="0.25">
      <c r="C263" t="s">
        <v>41</v>
      </c>
      <c r="D263" t="s">
        <v>36</v>
      </c>
      <c r="E263" t="s">
        <v>28</v>
      </c>
      <c r="F263" s="2">
        <v>854</v>
      </c>
      <c r="G263" s="3">
        <v>309</v>
      </c>
    </row>
    <row r="264" spans="3:7" x14ac:dyDescent="0.25">
      <c r="C264" t="s">
        <v>41</v>
      </c>
      <c r="D264" t="s">
        <v>35</v>
      </c>
      <c r="E264" t="s">
        <v>27</v>
      </c>
      <c r="F264" s="2">
        <v>847</v>
      </c>
      <c r="G264" s="3">
        <v>129</v>
      </c>
    </row>
    <row r="265" spans="3:7" x14ac:dyDescent="0.25">
      <c r="C265" t="s">
        <v>8</v>
      </c>
      <c r="D265" t="s">
        <v>38</v>
      </c>
      <c r="E265" t="s">
        <v>13</v>
      </c>
      <c r="F265" s="2">
        <v>819</v>
      </c>
      <c r="G265" s="3">
        <v>510</v>
      </c>
    </row>
    <row r="266" spans="3:7" x14ac:dyDescent="0.25">
      <c r="C266" t="s">
        <v>3</v>
      </c>
      <c r="D266" t="s">
        <v>35</v>
      </c>
      <c r="E266" t="s">
        <v>33</v>
      </c>
      <c r="F266" s="2">
        <v>819</v>
      </c>
      <c r="G266" s="3">
        <v>306</v>
      </c>
    </row>
    <row r="267" spans="3:7" x14ac:dyDescent="0.25">
      <c r="C267" t="s">
        <v>2</v>
      </c>
      <c r="D267" t="s">
        <v>36</v>
      </c>
      <c r="E267" t="s">
        <v>27</v>
      </c>
      <c r="F267" s="2">
        <v>798</v>
      </c>
      <c r="G267" s="3">
        <v>519</v>
      </c>
    </row>
    <row r="268" spans="3:7" x14ac:dyDescent="0.25">
      <c r="C268" t="s">
        <v>41</v>
      </c>
      <c r="D268" t="s">
        <v>37</v>
      </c>
      <c r="E268" t="s">
        <v>15</v>
      </c>
      <c r="F268" s="2">
        <v>714</v>
      </c>
      <c r="G268" s="3">
        <v>231</v>
      </c>
    </row>
    <row r="269" spans="3:7" x14ac:dyDescent="0.25">
      <c r="C269" t="s">
        <v>9</v>
      </c>
      <c r="D269" t="s">
        <v>34</v>
      </c>
      <c r="E269" t="s">
        <v>17</v>
      </c>
      <c r="F269" s="2">
        <v>707</v>
      </c>
      <c r="G269" s="3">
        <v>174</v>
      </c>
    </row>
    <row r="270" spans="3:7" x14ac:dyDescent="0.25">
      <c r="C270" t="s">
        <v>10</v>
      </c>
      <c r="D270" t="s">
        <v>34</v>
      </c>
      <c r="E270" t="s">
        <v>17</v>
      </c>
      <c r="F270" s="2">
        <v>700</v>
      </c>
      <c r="G270" s="3">
        <v>87</v>
      </c>
    </row>
    <row r="271" spans="3:7" x14ac:dyDescent="0.25">
      <c r="C271" t="s">
        <v>2</v>
      </c>
      <c r="D271" t="s">
        <v>39</v>
      </c>
      <c r="E271" t="s">
        <v>23</v>
      </c>
      <c r="F271" s="2">
        <v>630</v>
      </c>
      <c r="G271" s="3">
        <v>36</v>
      </c>
    </row>
    <row r="272" spans="3:7" x14ac:dyDescent="0.25">
      <c r="C272" t="s">
        <v>40</v>
      </c>
      <c r="D272" t="s">
        <v>38</v>
      </c>
      <c r="E272" t="s">
        <v>24</v>
      </c>
      <c r="F272" s="2">
        <v>623</v>
      </c>
      <c r="G272" s="3">
        <v>51</v>
      </c>
    </row>
    <row r="273" spans="3:7" x14ac:dyDescent="0.25">
      <c r="C273" t="s">
        <v>41</v>
      </c>
      <c r="D273" t="s">
        <v>35</v>
      </c>
      <c r="E273" t="s">
        <v>19</v>
      </c>
      <c r="F273" s="2">
        <v>609</v>
      </c>
      <c r="G273" s="3">
        <v>99</v>
      </c>
    </row>
    <row r="274" spans="3:7" x14ac:dyDescent="0.25">
      <c r="C274" t="s">
        <v>40</v>
      </c>
      <c r="D274" t="s">
        <v>38</v>
      </c>
      <c r="E274" t="s">
        <v>26</v>
      </c>
      <c r="F274" s="2">
        <v>609</v>
      </c>
      <c r="G274" s="3">
        <v>87</v>
      </c>
    </row>
    <row r="275" spans="3:7" x14ac:dyDescent="0.25">
      <c r="C275" t="s">
        <v>10</v>
      </c>
      <c r="D275" t="s">
        <v>35</v>
      </c>
      <c r="E275" t="s">
        <v>21</v>
      </c>
      <c r="F275" s="2">
        <v>567</v>
      </c>
      <c r="G275" s="3">
        <v>228</v>
      </c>
    </row>
    <row r="276" spans="3:7" x14ac:dyDescent="0.25">
      <c r="C276" t="s">
        <v>6</v>
      </c>
      <c r="D276" t="s">
        <v>37</v>
      </c>
      <c r="E276" t="s">
        <v>30</v>
      </c>
      <c r="F276" s="2">
        <v>560</v>
      </c>
      <c r="G276" s="3">
        <v>81</v>
      </c>
    </row>
    <row r="277" spans="3:7" x14ac:dyDescent="0.25">
      <c r="C277" t="s">
        <v>2</v>
      </c>
      <c r="D277" t="s">
        <v>35</v>
      </c>
      <c r="E277" t="s">
        <v>19</v>
      </c>
      <c r="F277" s="2">
        <v>553</v>
      </c>
      <c r="G277" s="3">
        <v>15</v>
      </c>
    </row>
    <row r="278" spans="3:7" x14ac:dyDescent="0.25">
      <c r="C278" t="s">
        <v>6</v>
      </c>
      <c r="D278" t="s">
        <v>34</v>
      </c>
      <c r="E278" t="s">
        <v>4</v>
      </c>
      <c r="F278" s="2">
        <v>525</v>
      </c>
      <c r="G278" s="3">
        <v>48</v>
      </c>
    </row>
    <row r="279" spans="3:7" x14ac:dyDescent="0.25">
      <c r="C279" t="s">
        <v>5</v>
      </c>
      <c r="D279" t="s">
        <v>37</v>
      </c>
      <c r="E279" t="s">
        <v>22</v>
      </c>
      <c r="F279" s="2">
        <v>518</v>
      </c>
      <c r="G279" s="3">
        <v>75</v>
      </c>
    </row>
    <row r="280" spans="3:7" x14ac:dyDescent="0.25">
      <c r="C280" t="s">
        <v>6</v>
      </c>
      <c r="D280" t="s">
        <v>36</v>
      </c>
      <c r="E280" t="s">
        <v>21</v>
      </c>
      <c r="F280" s="2">
        <v>497</v>
      </c>
      <c r="G280" s="3">
        <v>63</v>
      </c>
    </row>
    <row r="281" spans="3:7" x14ac:dyDescent="0.25">
      <c r="C281" t="s">
        <v>5</v>
      </c>
      <c r="D281" t="s">
        <v>35</v>
      </c>
      <c r="E281" t="s">
        <v>22</v>
      </c>
      <c r="F281" s="2">
        <v>490</v>
      </c>
      <c r="G281" s="3">
        <v>84</v>
      </c>
    </row>
    <row r="282" spans="3:7" x14ac:dyDescent="0.25">
      <c r="C282" t="s">
        <v>6</v>
      </c>
      <c r="D282" t="s">
        <v>38</v>
      </c>
      <c r="E282" t="s">
        <v>25</v>
      </c>
      <c r="F282" s="2">
        <v>469</v>
      </c>
      <c r="G282" s="3">
        <v>75</v>
      </c>
    </row>
    <row r="283" spans="3:7" x14ac:dyDescent="0.25">
      <c r="C283" t="s">
        <v>8</v>
      </c>
      <c r="D283" t="s">
        <v>37</v>
      </c>
      <c r="E283" t="s">
        <v>21</v>
      </c>
      <c r="F283" s="2">
        <v>434</v>
      </c>
      <c r="G283" s="3">
        <v>87</v>
      </c>
    </row>
    <row r="284" spans="3:7" x14ac:dyDescent="0.25">
      <c r="C284" t="s">
        <v>5</v>
      </c>
      <c r="D284" t="s">
        <v>39</v>
      </c>
      <c r="E284" t="s">
        <v>18</v>
      </c>
      <c r="F284" s="2">
        <v>385</v>
      </c>
      <c r="G284" s="3">
        <v>249</v>
      </c>
    </row>
    <row r="285" spans="3:7" x14ac:dyDescent="0.25">
      <c r="C285" t="s">
        <v>8</v>
      </c>
      <c r="D285" t="s">
        <v>35</v>
      </c>
      <c r="E285" t="s">
        <v>33</v>
      </c>
      <c r="F285" s="2">
        <v>357</v>
      </c>
      <c r="G285" s="3">
        <v>126</v>
      </c>
    </row>
    <row r="286" spans="3:7" x14ac:dyDescent="0.25">
      <c r="C286" t="s">
        <v>41</v>
      </c>
      <c r="D286" t="s">
        <v>34</v>
      </c>
      <c r="E286" t="s">
        <v>22</v>
      </c>
      <c r="F286" s="2">
        <v>336</v>
      </c>
      <c r="G286" s="3">
        <v>144</v>
      </c>
    </row>
    <row r="287" spans="3:7" x14ac:dyDescent="0.25">
      <c r="C287" t="s">
        <v>7</v>
      </c>
      <c r="D287" t="s">
        <v>36</v>
      </c>
      <c r="E287" t="s">
        <v>32</v>
      </c>
      <c r="F287" s="2">
        <v>280</v>
      </c>
      <c r="G287" s="3">
        <v>87</v>
      </c>
    </row>
    <row r="288" spans="3:7" x14ac:dyDescent="0.25">
      <c r="C288" t="s">
        <v>9</v>
      </c>
      <c r="D288" t="s">
        <v>37</v>
      </c>
      <c r="E288" t="s">
        <v>4</v>
      </c>
      <c r="F288" s="2">
        <v>259</v>
      </c>
      <c r="G288" s="3">
        <v>207</v>
      </c>
    </row>
    <row r="289" spans="3:7" x14ac:dyDescent="0.25">
      <c r="C289" t="s">
        <v>2</v>
      </c>
      <c r="D289" t="s">
        <v>34</v>
      </c>
      <c r="E289" t="s">
        <v>13</v>
      </c>
      <c r="F289" s="2">
        <v>252</v>
      </c>
      <c r="G289" s="3">
        <v>54</v>
      </c>
    </row>
    <row r="290" spans="3:7" x14ac:dyDescent="0.25">
      <c r="C290" t="s">
        <v>10</v>
      </c>
      <c r="D290" t="s">
        <v>37</v>
      </c>
      <c r="E290" t="s">
        <v>21</v>
      </c>
      <c r="F290" s="2">
        <v>245</v>
      </c>
      <c r="G290" s="3">
        <v>288</v>
      </c>
    </row>
    <row r="291" spans="3:7" x14ac:dyDescent="0.25">
      <c r="C291" t="s">
        <v>2</v>
      </c>
      <c r="D291" t="s">
        <v>37</v>
      </c>
      <c r="E291" t="s">
        <v>19</v>
      </c>
      <c r="F291" s="2">
        <v>238</v>
      </c>
      <c r="G291" s="3">
        <v>18</v>
      </c>
    </row>
    <row r="292" spans="3:7" x14ac:dyDescent="0.25">
      <c r="C292" t="s">
        <v>40</v>
      </c>
      <c r="D292" t="s">
        <v>36</v>
      </c>
      <c r="E292" t="s">
        <v>4</v>
      </c>
      <c r="F292" s="2">
        <v>217</v>
      </c>
      <c r="G292" s="3">
        <v>36</v>
      </c>
    </row>
    <row r="293" spans="3:7" x14ac:dyDescent="0.25">
      <c r="C293" t="s">
        <v>2</v>
      </c>
      <c r="D293" t="s">
        <v>36</v>
      </c>
      <c r="E293" t="s">
        <v>17</v>
      </c>
      <c r="F293" s="2">
        <v>189</v>
      </c>
      <c r="G293" s="3">
        <v>48</v>
      </c>
    </row>
    <row r="294" spans="3:7" x14ac:dyDescent="0.25">
      <c r="C294" t="s">
        <v>5</v>
      </c>
      <c r="D294" t="s">
        <v>37</v>
      </c>
      <c r="E294" t="s">
        <v>31</v>
      </c>
      <c r="F294" s="2">
        <v>182</v>
      </c>
      <c r="G294" s="3">
        <v>48</v>
      </c>
    </row>
    <row r="295" spans="3:7" x14ac:dyDescent="0.25">
      <c r="C295" t="s">
        <v>8</v>
      </c>
      <c r="D295" t="s">
        <v>38</v>
      </c>
      <c r="E295" t="s">
        <v>22</v>
      </c>
      <c r="F295" s="2">
        <v>168</v>
      </c>
      <c r="G295" s="3">
        <v>84</v>
      </c>
    </row>
    <row r="296" spans="3:7" x14ac:dyDescent="0.25">
      <c r="C296" t="s">
        <v>41</v>
      </c>
      <c r="D296" t="s">
        <v>38</v>
      </c>
      <c r="E296" t="s">
        <v>25</v>
      </c>
      <c r="F296" s="2">
        <v>154</v>
      </c>
      <c r="G296" s="3">
        <v>21</v>
      </c>
    </row>
    <row r="297" spans="3:7" x14ac:dyDescent="0.25">
      <c r="C297" t="s">
        <v>41</v>
      </c>
      <c r="D297" t="s">
        <v>36</v>
      </c>
      <c r="E297" t="s">
        <v>26</v>
      </c>
      <c r="F297" s="2">
        <v>98</v>
      </c>
      <c r="G297" s="3">
        <v>204</v>
      </c>
    </row>
    <row r="298" spans="3:7" x14ac:dyDescent="0.25">
      <c r="C298" t="s">
        <v>9</v>
      </c>
      <c r="D298" t="s">
        <v>35</v>
      </c>
      <c r="E298" t="s">
        <v>26</v>
      </c>
      <c r="F298" s="2">
        <v>98</v>
      </c>
      <c r="G298" s="3">
        <v>159</v>
      </c>
    </row>
    <row r="299" spans="3:7" x14ac:dyDescent="0.25">
      <c r="C299" t="s">
        <v>10</v>
      </c>
      <c r="D299" t="s">
        <v>38</v>
      </c>
      <c r="E299" t="s">
        <v>13</v>
      </c>
      <c r="F299" s="2">
        <v>63</v>
      </c>
      <c r="G299" s="3">
        <v>123</v>
      </c>
    </row>
    <row r="300" spans="3:7" x14ac:dyDescent="0.25">
      <c r="C300" t="s">
        <v>2</v>
      </c>
      <c r="D300" t="s">
        <v>38</v>
      </c>
      <c r="E300" t="s">
        <v>13</v>
      </c>
      <c r="F300" s="2">
        <v>56</v>
      </c>
      <c r="G300" s="3">
        <v>51</v>
      </c>
    </row>
    <row r="301" spans="3:7" x14ac:dyDescent="0.25">
      <c r="C301" t="s">
        <v>8</v>
      </c>
      <c r="D301" t="s">
        <v>37</v>
      </c>
      <c r="E301" t="s">
        <v>30</v>
      </c>
      <c r="F301" s="2">
        <v>42</v>
      </c>
      <c r="G301" s="3">
        <v>150</v>
      </c>
    </row>
    <row r="302" spans="3:7" x14ac:dyDescent="0.25">
      <c r="C302" t="s">
        <v>3</v>
      </c>
      <c r="D302" t="s">
        <v>39</v>
      </c>
      <c r="E302" t="s">
        <v>16</v>
      </c>
      <c r="F302" s="2">
        <v>21</v>
      </c>
      <c r="G302" s="3">
        <v>168</v>
      </c>
    </row>
    <row r="303" spans="3:7" x14ac:dyDescent="0.25">
      <c r="C303" t="s">
        <v>40</v>
      </c>
      <c r="D303" t="s">
        <v>39</v>
      </c>
      <c r="E303" t="s">
        <v>29</v>
      </c>
      <c r="F303" s="2">
        <v>0</v>
      </c>
      <c r="G303" s="3">
        <v>135</v>
      </c>
    </row>
  </sheetData>
  <mergeCells count="1">
    <mergeCell ref="B1:T1"/>
  </mergeCells>
  <phoneticPr fontId="4"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64B0C-399F-49FD-B92B-194AAACF3062}">
  <sheetPr>
    <tabColor rgb="FF00B0F0"/>
  </sheetPr>
  <dimension ref="A1:V10"/>
  <sheetViews>
    <sheetView showGridLines="0" workbookViewId="0">
      <selection activeCell="H9" sqref="H9"/>
    </sheetView>
  </sheetViews>
  <sheetFormatPr defaultRowHeight="15" x14ac:dyDescent="0.25"/>
  <cols>
    <col min="1" max="1" width="1.7109375" customWidth="1"/>
    <col min="3" max="3" width="12.5703125" bestFit="1" customWidth="1"/>
    <col min="4" max="4" width="12.28515625" bestFit="1" customWidth="1"/>
    <col min="5" max="5" width="7.28515625" customWidth="1"/>
  </cols>
  <sheetData>
    <row r="1" spans="1:22" s="9" customFormat="1" ht="52.5" customHeight="1" x14ac:dyDescent="0.25">
      <c r="A1" s="13"/>
      <c r="B1" s="64" t="s">
        <v>64</v>
      </c>
      <c r="C1" s="64"/>
      <c r="D1" s="64"/>
      <c r="E1" s="64"/>
      <c r="F1" s="64"/>
      <c r="G1" s="64"/>
      <c r="H1" s="64"/>
      <c r="I1" s="64"/>
      <c r="J1" s="64"/>
      <c r="K1" s="64"/>
      <c r="L1" s="64"/>
      <c r="M1" s="64"/>
      <c r="N1" s="64"/>
      <c r="O1" s="64"/>
      <c r="P1" s="64"/>
      <c r="Q1" s="64"/>
      <c r="R1" s="64"/>
      <c r="S1" s="64"/>
      <c r="T1" s="64"/>
      <c r="U1" s="14"/>
      <c r="V1" s="14"/>
    </row>
    <row r="4" spans="1:22" x14ac:dyDescent="0.25">
      <c r="C4" s="16" t="s">
        <v>65</v>
      </c>
      <c r="D4" s="67" t="s">
        <v>66</v>
      </c>
      <c r="E4" s="67"/>
      <c r="F4" s="17" t="s">
        <v>49</v>
      </c>
    </row>
    <row r="5" spans="1:22" x14ac:dyDescent="0.25">
      <c r="C5" s="18" t="s">
        <v>34</v>
      </c>
      <c r="D5" s="46">
        <f>SUMIFS(data[Amount],data[Geography],C5)</f>
        <v>252469</v>
      </c>
      <c r="E5" s="15">
        <f>D5</f>
        <v>252469</v>
      </c>
      <c r="F5" s="57">
        <f>SUMIFS(data[Units],data[Geography],C5)</f>
        <v>8760</v>
      </c>
    </row>
    <row r="6" spans="1:22" x14ac:dyDescent="0.25">
      <c r="C6" s="19" t="s">
        <v>36</v>
      </c>
      <c r="D6" s="47">
        <f>SUMIFS(data[Amount],data[Geography],C6)</f>
        <v>237944</v>
      </c>
      <c r="E6" s="15">
        <f t="shared" ref="E6:E10" si="0">D6</f>
        <v>237944</v>
      </c>
      <c r="F6" s="58">
        <f>SUMIFS(data[Units],data[Geography],C6)</f>
        <v>7302</v>
      </c>
    </row>
    <row r="7" spans="1:22" x14ac:dyDescent="0.25">
      <c r="C7" s="19" t="s">
        <v>37</v>
      </c>
      <c r="D7" s="47">
        <f>SUMIFS(data[Amount],data[Geography],C7)</f>
        <v>218813</v>
      </c>
      <c r="E7" s="15">
        <f t="shared" si="0"/>
        <v>218813</v>
      </c>
      <c r="F7" s="58">
        <f>SUMIFS(data[Units],data[Geography],C7)</f>
        <v>7431</v>
      </c>
    </row>
    <row r="8" spans="1:22" x14ac:dyDescent="0.25">
      <c r="C8" s="19" t="s">
        <v>35</v>
      </c>
      <c r="D8" s="47">
        <f>SUMIFS(data[Amount],data[Geography],C8)</f>
        <v>189434</v>
      </c>
      <c r="E8" s="15">
        <f t="shared" si="0"/>
        <v>189434</v>
      </c>
      <c r="F8" s="58">
        <f>SUMIFS(data[Units],data[Geography],C8)</f>
        <v>10158</v>
      </c>
    </row>
    <row r="9" spans="1:22" x14ac:dyDescent="0.25">
      <c r="C9" s="19" t="s">
        <v>39</v>
      </c>
      <c r="D9" s="47">
        <f>SUMIFS(data[Amount],data[Geography],C9)</f>
        <v>173530</v>
      </c>
      <c r="E9" s="15">
        <f t="shared" si="0"/>
        <v>173530</v>
      </c>
      <c r="F9" s="58">
        <f>SUMIFS(data[Units],data[Geography],C9)</f>
        <v>5745</v>
      </c>
    </row>
    <row r="10" spans="1:22" x14ac:dyDescent="0.25">
      <c r="C10" s="19" t="s">
        <v>38</v>
      </c>
      <c r="D10" s="47">
        <f>SUMIFS(data[Amount],data[Geography],C10)</f>
        <v>168679</v>
      </c>
      <c r="E10" s="15">
        <f t="shared" si="0"/>
        <v>168679</v>
      </c>
      <c r="F10" s="58">
        <f>SUMIFS(data[Units],data[Geography],C10)</f>
        <v>6264</v>
      </c>
    </row>
  </sheetData>
  <mergeCells count="2">
    <mergeCell ref="B1:T1"/>
    <mergeCell ref="D4:E4"/>
  </mergeCells>
  <conditionalFormatting sqref="E5:E10">
    <cfRule type="dataBar" priority="1">
      <dataBar showValue="0">
        <cfvo type="min"/>
        <cfvo type="max"/>
        <color theme="9" tint="0.39997558519241921"/>
      </dataBar>
      <extLst>
        <ext xmlns:x14="http://schemas.microsoft.com/office/spreadsheetml/2009/9/main" uri="{B025F937-C7B1-47D3-B67F-A62EFF666E3E}">
          <x14:id>{E3FEB418-F8BB-4BAC-9446-B806721E46DA}</x14:id>
        </ext>
      </extLs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E3FEB418-F8BB-4BAC-9446-B806721E46DA}">
            <x14:dataBar minLength="0" maxLength="100" gradient="0">
              <x14:cfvo type="autoMin"/>
              <x14:cfvo type="autoMax"/>
              <x14:negativeFillColor rgb="FFFF0000"/>
              <x14:axisColor rgb="FF000000"/>
            </x14:dataBar>
          </x14:cfRule>
          <xm:sqref>E5:E10</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118F6-EA85-4E38-AAD2-DBCAF3230D5E}">
  <sheetPr>
    <tabColor rgb="FF00B050"/>
  </sheetPr>
  <dimension ref="A1:V10"/>
  <sheetViews>
    <sheetView workbookViewId="0">
      <selection activeCell="F10" sqref="F10"/>
    </sheetView>
  </sheetViews>
  <sheetFormatPr defaultRowHeight="15" x14ac:dyDescent="0.25"/>
  <cols>
    <col min="1" max="1" width="1.7109375" customWidth="1"/>
    <col min="3" max="3" width="13.140625" bestFit="1" customWidth="1"/>
    <col min="4" max="4" width="14.85546875" bestFit="1" customWidth="1"/>
    <col min="5" max="5" width="9" bestFit="1" customWidth="1"/>
    <col min="6" max="6" width="12.28515625" bestFit="1" customWidth="1"/>
    <col min="7" max="9" width="4.7109375" bestFit="1" customWidth="1"/>
    <col min="10" max="47" width="5.7109375" bestFit="1" customWidth="1"/>
    <col min="48" max="258" width="7.28515625" bestFit="1" customWidth="1"/>
    <col min="259" max="271" width="8.28515625" bestFit="1" customWidth="1"/>
    <col min="272" max="272" width="11.28515625" bestFit="1" customWidth="1"/>
  </cols>
  <sheetData>
    <row r="1" spans="1:22" s="9" customFormat="1" ht="52.5" customHeight="1" x14ac:dyDescent="0.25">
      <c r="A1" s="13"/>
      <c r="B1" s="64" t="s">
        <v>67</v>
      </c>
      <c r="C1" s="64"/>
      <c r="D1" s="64"/>
      <c r="E1" s="64"/>
      <c r="F1" s="64"/>
      <c r="G1" s="64"/>
      <c r="H1" s="64"/>
      <c r="I1" s="64"/>
      <c r="J1" s="64"/>
      <c r="K1" s="64"/>
      <c r="L1" s="64"/>
      <c r="M1" s="64"/>
      <c r="N1" s="64"/>
      <c r="O1" s="64"/>
      <c r="P1" s="64"/>
      <c r="Q1" s="64"/>
      <c r="R1" s="64"/>
      <c r="S1" s="64"/>
      <c r="T1" s="64"/>
      <c r="U1" s="14"/>
      <c r="V1" s="14"/>
    </row>
    <row r="4" spans="1:22" x14ac:dyDescent="0.25">
      <c r="C4" s="20" t="s">
        <v>68</v>
      </c>
      <c r="D4" t="s">
        <v>69</v>
      </c>
      <c r="E4" s="27" t="s">
        <v>74</v>
      </c>
      <c r="F4" t="s">
        <v>70</v>
      </c>
    </row>
    <row r="5" spans="1:22" x14ac:dyDescent="0.25">
      <c r="C5" s="21" t="s">
        <v>34</v>
      </c>
      <c r="D5" s="48">
        <v>252469</v>
      </c>
      <c r="E5" s="22">
        <v>252469</v>
      </c>
      <c r="F5" s="22">
        <v>8760</v>
      </c>
    </row>
    <row r="6" spans="1:22" x14ac:dyDescent="0.25">
      <c r="C6" s="21" t="s">
        <v>36</v>
      </c>
      <c r="D6" s="48">
        <v>237944</v>
      </c>
      <c r="E6" s="22">
        <v>237944</v>
      </c>
      <c r="F6" s="22">
        <v>7302</v>
      </c>
    </row>
    <row r="7" spans="1:22" x14ac:dyDescent="0.25">
      <c r="C7" s="21" t="s">
        <v>37</v>
      </c>
      <c r="D7" s="48">
        <v>218813</v>
      </c>
      <c r="E7" s="22">
        <v>218813</v>
      </c>
      <c r="F7" s="22">
        <v>7431</v>
      </c>
    </row>
    <row r="8" spans="1:22" x14ac:dyDescent="0.25">
      <c r="C8" s="21" t="s">
        <v>35</v>
      </c>
      <c r="D8" s="48">
        <v>189434</v>
      </c>
      <c r="E8" s="22">
        <v>189434</v>
      </c>
      <c r="F8" s="22">
        <v>10158</v>
      </c>
    </row>
    <row r="9" spans="1:22" x14ac:dyDescent="0.25">
      <c r="C9" s="21" t="s">
        <v>39</v>
      </c>
      <c r="D9" s="48">
        <v>173530</v>
      </c>
      <c r="E9" s="22">
        <v>173530</v>
      </c>
      <c r="F9" s="22">
        <v>5745</v>
      </c>
    </row>
    <row r="10" spans="1:22" x14ac:dyDescent="0.25">
      <c r="C10" s="21" t="s">
        <v>38</v>
      </c>
      <c r="D10" s="48">
        <v>168679</v>
      </c>
      <c r="E10" s="22">
        <v>168679</v>
      </c>
      <c r="F10" s="22">
        <v>6264</v>
      </c>
    </row>
  </sheetData>
  <mergeCells count="1">
    <mergeCell ref="B1:T1"/>
  </mergeCells>
  <conditionalFormatting pivot="1" sqref="E5:E10">
    <cfRule type="dataBar" priority="1">
      <dataBar showValue="0">
        <cfvo type="min"/>
        <cfvo type="max"/>
        <color theme="9" tint="0.39997558519241921"/>
      </dataBar>
      <extLst>
        <ext xmlns:x14="http://schemas.microsoft.com/office/spreadsheetml/2009/9/main" uri="{B025F937-C7B1-47D3-B67F-A62EFF666E3E}">
          <x14:id>{B480C974-3A9A-47B4-B1A5-9CA5DA4A19F4}</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B480C974-3A9A-47B4-B1A5-9CA5DA4A19F4}">
            <x14:dataBar minLength="0" maxLength="100" gradient="0">
              <x14:cfvo type="autoMin"/>
              <x14:cfvo type="autoMax"/>
              <x14:negativeFillColor rgb="FFFF0000"/>
              <x14:axisColor rgb="FF000000"/>
            </x14:dataBar>
          </x14:cfRule>
          <xm:sqref>E5:E10</xm:sqref>
        </x14:conditionalFormatting>
      </x14:conditionalFormattings>
    </ex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C63ED-B939-4DC2-83F2-DBEDF8332ADD}">
  <sheetPr>
    <tabColor rgb="FF92D050"/>
  </sheetPr>
  <dimension ref="A1:V9"/>
  <sheetViews>
    <sheetView workbookViewId="0">
      <selection activeCell="C3" sqref="C3"/>
    </sheetView>
  </sheetViews>
  <sheetFormatPr defaultRowHeight="15" x14ac:dyDescent="0.25"/>
  <cols>
    <col min="1" max="1" width="1.7109375" customWidth="1"/>
    <col min="3" max="3" width="19.42578125" bestFit="1" customWidth="1"/>
    <col min="4" max="6" width="13.42578125" bestFit="1" customWidth="1"/>
    <col min="8" max="8" width="21.85546875" bestFit="1" customWidth="1"/>
    <col min="9" max="9" width="14.85546875" bestFit="1" customWidth="1"/>
  </cols>
  <sheetData>
    <row r="1" spans="1:22" s="9" customFormat="1" ht="52.5" customHeight="1" x14ac:dyDescent="0.25">
      <c r="A1" s="13"/>
      <c r="B1" s="64" t="s">
        <v>72</v>
      </c>
      <c r="C1" s="64"/>
      <c r="D1" s="64"/>
      <c r="E1" s="64"/>
      <c r="F1" s="64"/>
      <c r="G1" s="64"/>
      <c r="H1" s="64"/>
      <c r="I1" s="64"/>
      <c r="J1" s="64"/>
      <c r="K1" s="64"/>
      <c r="L1" s="64"/>
      <c r="M1" s="64"/>
      <c r="N1" s="64"/>
      <c r="O1" s="64"/>
      <c r="P1" s="64"/>
      <c r="Q1" s="64"/>
      <c r="R1" s="64"/>
      <c r="S1" s="64"/>
      <c r="T1" s="64"/>
      <c r="U1" s="14"/>
      <c r="V1" s="14"/>
    </row>
    <row r="3" spans="1:22" x14ac:dyDescent="0.25">
      <c r="C3" s="20" t="s">
        <v>68</v>
      </c>
      <c r="D3" t="s">
        <v>75</v>
      </c>
    </row>
    <row r="4" spans="1:22" x14ac:dyDescent="0.25">
      <c r="C4" s="25" t="s">
        <v>15</v>
      </c>
      <c r="D4" s="8">
        <v>44.990867579908674</v>
      </c>
    </row>
    <row r="5" spans="1:22" x14ac:dyDescent="0.25">
      <c r="C5" s="25" t="s">
        <v>33</v>
      </c>
      <c r="D5" s="8">
        <v>37.303128371089535</v>
      </c>
    </row>
    <row r="6" spans="1:22" x14ac:dyDescent="0.25">
      <c r="C6" s="25" t="s">
        <v>24</v>
      </c>
      <c r="D6" s="8">
        <v>33.88697318007663</v>
      </c>
    </row>
    <row r="7" spans="1:22" x14ac:dyDescent="0.25">
      <c r="C7" s="25" t="s">
        <v>26</v>
      </c>
      <c r="D7" s="8">
        <v>32.807189542483663</v>
      </c>
    </row>
    <row r="8" spans="1:22" x14ac:dyDescent="0.25">
      <c r="C8" s="25" t="s">
        <v>22</v>
      </c>
      <c r="D8" s="8">
        <v>32.301656920077974</v>
      </c>
    </row>
    <row r="9" spans="1:22" x14ac:dyDescent="0.25">
      <c r="C9" s="25" t="s">
        <v>73</v>
      </c>
      <c r="D9" s="8">
        <v>35.949565217391303</v>
      </c>
    </row>
  </sheetData>
  <mergeCells count="1">
    <mergeCell ref="B1:T1"/>
  </mergeCells>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FC0D3-FF95-4048-A5EA-3DACD9A96459}">
  <sheetPr>
    <tabColor rgb="FFFFFF00"/>
  </sheetPr>
  <dimension ref="A1:V17"/>
  <sheetViews>
    <sheetView workbookViewId="0">
      <selection activeCell="D4" sqref="D4"/>
      <pivotSelection pane="bottomRight" showHeader="1" extendable="1" activeRow="3" activeCol="3" previousRow="3" previousCol="3" click="1" r:id="rId2">
        <pivotArea dataOnly="0" outline="0" axis="axisValues" fieldPosition="0"/>
      </pivotSelection>
    </sheetView>
  </sheetViews>
  <sheetFormatPr defaultRowHeight="15" x14ac:dyDescent="0.25"/>
  <cols>
    <col min="1" max="1" width="1.5703125" customWidth="1"/>
    <col min="3" max="3" width="16.42578125" bestFit="1" customWidth="1"/>
    <col min="4" max="4" width="14.85546875" bestFit="1" customWidth="1"/>
    <col min="7" max="7" width="16.28515625" bestFit="1" customWidth="1"/>
    <col min="8" max="8" width="14.85546875" bestFit="1" customWidth="1"/>
  </cols>
  <sheetData>
    <row r="1" spans="1:22" s="9" customFormat="1" ht="52.5" customHeight="1" x14ac:dyDescent="0.25">
      <c r="A1" s="13"/>
      <c r="B1" s="64" t="s">
        <v>77</v>
      </c>
      <c r="C1" s="64"/>
      <c r="D1" s="64"/>
      <c r="E1" s="64"/>
      <c r="F1" s="64"/>
      <c r="G1" s="64"/>
      <c r="H1" s="64"/>
      <c r="I1" s="64"/>
      <c r="J1" s="64"/>
      <c r="K1" s="64"/>
      <c r="L1" s="64"/>
      <c r="M1" s="64"/>
      <c r="N1" s="64"/>
      <c r="O1" s="64"/>
      <c r="P1" s="64"/>
      <c r="Q1" s="64"/>
      <c r="R1" s="64"/>
      <c r="S1" s="64"/>
      <c r="T1" s="64"/>
      <c r="U1" s="14"/>
      <c r="V1" s="14"/>
    </row>
    <row r="4" spans="1:22" x14ac:dyDescent="0.25">
      <c r="C4" s="20" t="s">
        <v>68</v>
      </c>
      <c r="D4" t="s">
        <v>69</v>
      </c>
      <c r="G4" s="20" t="s">
        <v>68</v>
      </c>
      <c r="H4" t="s">
        <v>69</v>
      </c>
      <c r="I4" s="20"/>
      <c r="J4" s="20"/>
      <c r="K4" s="20"/>
      <c r="L4" s="20"/>
      <c r="M4" s="20"/>
      <c r="N4" s="20"/>
      <c r="O4" s="20"/>
      <c r="P4" s="20"/>
      <c r="Q4" s="20"/>
    </row>
    <row r="5" spans="1:22" x14ac:dyDescent="0.25">
      <c r="C5" s="25" t="s">
        <v>38</v>
      </c>
      <c r="D5" s="2">
        <v>25221</v>
      </c>
      <c r="G5" s="25" t="s">
        <v>38</v>
      </c>
      <c r="H5" s="2">
        <v>6069</v>
      </c>
    </row>
    <row r="6" spans="1:22" x14ac:dyDescent="0.25">
      <c r="C6" s="28" t="s">
        <v>5</v>
      </c>
      <c r="D6" s="2">
        <v>25221</v>
      </c>
      <c r="G6" s="28" t="s">
        <v>41</v>
      </c>
      <c r="H6" s="2">
        <v>6069</v>
      </c>
    </row>
    <row r="7" spans="1:22" x14ac:dyDescent="0.25">
      <c r="C7" s="25" t="s">
        <v>36</v>
      </c>
      <c r="D7" s="2">
        <v>39620</v>
      </c>
      <c r="G7" s="25" t="s">
        <v>36</v>
      </c>
      <c r="H7" s="2">
        <v>5019</v>
      </c>
    </row>
    <row r="8" spans="1:22" x14ac:dyDescent="0.25">
      <c r="C8" s="28" t="s">
        <v>5</v>
      </c>
      <c r="D8" s="2">
        <v>39620</v>
      </c>
      <c r="G8" s="28" t="s">
        <v>8</v>
      </c>
      <c r="H8" s="2">
        <v>5019</v>
      </c>
    </row>
    <row r="9" spans="1:22" x14ac:dyDescent="0.25">
      <c r="C9" s="25" t="s">
        <v>34</v>
      </c>
      <c r="D9" s="2">
        <v>41559</v>
      </c>
      <c r="G9" s="25" t="s">
        <v>34</v>
      </c>
      <c r="H9" s="2">
        <v>5516</v>
      </c>
    </row>
    <row r="10" spans="1:22" x14ac:dyDescent="0.25">
      <c r="C10" s="28" t="s">
        <v>5</v>
      </c>
      <c r="D10" s="2">
        <v>41559</v>
      </c>
      <c r="G10" s="28" t="s">
        <v>8</v>
      </c>
      <c r="H10" s="2">
        <v>5516</v>
      </c>
    </row>
    <row r="11" spans="1:22" x14ac:dyDescent="0.25">
      <c r="C11" s="25" t="s">
        <v>37</v>
      </c>
      <c r="D11" s="2">
        <v>43568</v>
      </c>
      <c r="G11" s="25" t="s">
        <v>37</v>
      </c>
      <c r="H11" s="2">
        <v>7987</v>
      </c>
    </row>
    <row r="12" spans="1:22" x14ac:dyDescent="0.25">
      <c r="C12" s="28" t="s">
        <v>7</v>
      </c>
      <c r="D12" s="2">
        <v>43568</v>
      </c>
      <c r="G12" s="28" t="s">
        <v>10</v>
      </c>
      <c r="H12" s="2">
        <v>7987</v>
      </c>
    </row>
    <row r="13" spans="1:22" x14ac:dyDescent="0.25">
      <c r="C13" s="25" t="s">
        <v>39</v>
      </c>
      <c r="D13" s="2">
        <v>45752</v>
      </c>
      <c r="G13" s="25" t="s">
        <v>39</v>
      </c>
      <c r="H13" s="2">
        <v>3976</v>
      </c>
    </row>
    <row r="14" spans="1:22" x14ac:dyDescent="0.25">
      <c r="C14" s="28" t="s">
        <v>2</v>
      </c>
      <c r="D14" s="2">
        <v>45752</v>
      </c>
      <c r="G14" s="28" t="s">
        <v>41</v>
      </c>
      <c r="H14" s="2">
        <v>3976</v>
      </c>
    </row>
    <row r="15" spans="1:22" x14ac:dyDescent="0.25">
      <c r="C15" s="25" t="s">
        <v>35</v>
      </c>
      <c r="D15" s="2">
        <v>38325</v>
      </c>
      <c r="G15" s="25" t="s">
        <v>35</v>
      </c>
      <c r="H15" s="2">
        <v>2142</v>
      </c>
    </row>
    <row r="16" spans="1:22" x14ac:dyDescent="0.25">
      <c r="C16" s="28" t="s">
        <v>40</v>
      </c>
      <c r="D16" s="2">
        <v>38325</v>
      </c>
      <c r="G16" s="28" t="s">
        <v>2</v>
      </c>
      <c r="H16" s="2">
        <v>2142</v>
      </c>
    </row>
    <row r="17" spans="3:8" x14ac:dyDescent="0.25">
      <c r="C17" s="25" t="s">
        <v>73</v>
      </c>
      <c r="D17" s="2">
        <v>234045</v>
      </c>
      <c r="G17" s="25" t="s">
        <v>73</v>
      </c>
      <c r="H17" s="2">
        <v>30709</v>
      </c>
    </row>
  </sheetData>
  <mergeCells count="1">
    <mergeCell ref="B1:T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06DC5-D1C7-4A82-B154-EB91A4E31D35}">
  <sheetPr>
    <tabColor rgb="FFFF0000"/>
  </sheetPr>
  <dimension ref="A1:V26"/>
  <sheetViews>
    <sheetView workbookViewId="0">
      <selection activeCell="J10" sqref="J10"/>
    </sheetView>
  </sheetViews>
  <sheetFormatPr defaultRowHeight="15" x14ac:dyDescent="0.25"/>
  <cols>
    <col min="1" max="1" width="1.7109375" customWidth="1"/>
    <col min="3" max="3" width="21.85546875" bestFit="1" customWidth="1"/>
    <col min="4" max="4" width="12.28515625" bestFit="1" customWidth="1"/>
    <col min="5" max="6" width="10.85546875" bestFit="1" customWidth="1"/>
  </cols>
  <sheetData>
    <row r="1" spans="1:22" s="9" customFormat="1" ht="52.5" customHeight="1" x14ac:dyDescent="0.25">
      <c r="A1" s="13"/>
      <c r="B1" s="64" t="s">
        <v>80</v>
      </c>
      <c r="C1" s="64"/>
      <c r="D1" s="64"/>
      <c r="E1" s="64"/>
      <c r="F1" s="64"/>
      <c r="G1" s="64"/>
      <c r="H1" s="64"/>
      <c r="I1" s="64"/>
      <c r="J1" s="64"/>
      <c r="K1" s="64"/>
      <c r="L1" s="64"/>
      <c r="M1" s="64"/>
      <c r="N1" s="64"/>
      <c r="O1" s="64"/>
      <c r="P1" s="64"/>
      <c r="Q1" s="64"/>
      <c r="R1" s="64"/>
      <c r="S1" s="64"/>
      <c r="T1" s="64"/>
      <c r="U1" s="14"/>
      <c r="V1" s="14"/>
    </row>
    <row r="3" spans="1:22" x14ac:dyDescent="0.25">
      <c r="C3" s="20" t="s">
        <v>68</v>
      </c>
      <c r="D3" t="s">
        <v>81</v>
      </c>
    </row>
    <row r="4" spans="1:22" x14ac:dyDescent="0.25">
      <c r="C4" s="25" t="s">
        <v>14</v>
      </c>
      <c r="D4" s="8">
        <v>19525.600000000002</v>
      </c>
    </row>
    <row r="5" spans="1:22" x14ac:dyDescent="0.25">
      <c r="C5" s="25" t="s">
        <v>30</v>
      </c>
      <c r="D5" s="8">
        <v>25899.020000000011</v>
      </c>
    </row>
    <row r="6" spans="1:22" x14ac:dyDescent="0.25">
      <c r="C6" s="25" t="s">
        <v>24</v>
      </c>
      <c r="D6" s="8">
        <v>30189.32</v>
      </c>
    </row>
    <row r="7" spans="1:22" x14ac:dyDescent="0.25">
      <c r="C7" s="25" t="s">
        <v>19</v>
      </c>
      <c r="D7" s="8">
        <v>29800.160000000003</v>
      </c>
    </row>
    <row r="8" spans="1:22" x14ac:dyDescent="0.25">
      <c r="C8" s="25" t="s">
        <v>22</v>
      </c>
      <c r="D8" s="8">
        <v>46234.960000000006</v>
      </c>
    </row>
    <row r="9" spans="1:22" x14ac:dyDescent="0.25">
      <c r="C9" s="25" t="s">
        <v>4</v>
      </c>
      <c r="D9" s="8">
        <v>14946.919999999998</v>
      </c>
    </row>
    <row r="10" spans="1:22" x14ac:dyDescent="0.25">
      <c r="C10" s="25" t="s">
        <v>26</v>
      </c>
      <c r="D10" s="8">
        <v>58277.8</v>
      </c>
    </row>
    <row r="11" spans="1:22" x14ac:dyDescent="0.25">
      <c r="C11" s="25" t="s">
        <v>28</v>
      </c>
      <c r="D11" s="8">
        <v>39084.340000000004</v>
      </c>
    </row>
    <row r="12" spans="1:22" x14ac:dyDescent="0.25">
      <c r="C12" s="25" t="s">
        <v>32</v>
      </c>
      <c r="D12" s="8">
        <v>52063.35</v>
      </c>
    </row>
    <row r="13" spans="1:22" x14ac:dyDescent="0.25">
      <c r="C13" s="25" t="s">
        <v>18</v>
      </c>
      <c r="D13" s="8">
        <v>40814.559999999998</v>
      </c>
    </row>
    <row r="14" spans="1:22" x14ac:dyDescent="0.25">
      <c r="C14" s="25" t="s">
        <v>17</v>
      </c>
      <c r="D14" s="8">
        <v>56471.590000000004</v>
      </c>
    </row>
    <row r="15" spans="1:22" x14ac:dyDescent="0.25">
      <c r="C15" s="25" t="s">
        <v>23</v>
      </c>
      <c r="D15" s="8">
        <v>44884.12</v>
      </c>
    </row>
    <row r="16" spans="1:22" x14ac:dyDescent="0.25">
      <c r="C16" s="25" t="s">
        <v>29</v>
      </c>
      <c r="D16" s="8">
        <v>36700.840000000004</v>
      </c>
    </row>
    <row r="17" spans="3:4" x14ac:dyDescent="0.25">
      <c r="C17" s="25" t="s">
        <v>13</v>
      </c>
      <c r="D17" s="8">
        <v>29721.27</v>
      </c>
    </row>
    <row r="18" spans="3:4" x14ac:dyDescent="0.25">
      <c r="C18" s="25" t="s">
        <v>16</v>
      </c>
      <c r="D18" s="8">
        <v>43177.340000000004</v>
      </c>
    </row>
    <row r="19" spans="3:4" x14ac:dyDescent="0.25">
      <c r="C19" s="25" t="s">
        <v>20</v>
      </c>
      <c r="D19" s="8">
        <v>31390.480000000003</v>
      </c>
    </row>
    <row r="20" spans="3:4" x14ac:dyDescent="0.25">
      <c r="C20" s="25" t="s">
        <v>27</v>
      </c>
      <c r="D20" s="8">
        <v>19572.14</v>
      </c>
    </row>
    <row r="21" spans="3:4" x14ac:dyDescent="0.25">
      <c r="C21" s="25" t="s">
        <v>33</v>
      </c>
      <c r="D21" s="8">
        <v>46226.020000000004</v>
      </c>
    </row>
    <row r="22" spans="3:4" x14ac:dyDescent="0.25">
      <c r="C22" s="25" t="s">
        <v>15</v>
      </c>
      <c r="D22" s="8">
        <v>50988.91</v>
      </c>
    </row>
    <row r="23" spans="3:4" x14ac:dyDescent="0.25">
      <c r="C23" s="25" t="s">
        <v>31</v>
      </c>
      <c r="D23" s="8">
        <v>29518.43</v>
      </c>
    </row>
    <row r="24" spans="3:4" x14ac:dyDescent="0.25">
      <c r="C24" s="25" t="s">
        <v>21</v>
      </c>
      <c r="D24" s="8">
        <v>26000</v>
      </c>
    </row>
    <row r="25" spans="3:4" x14ac:dyDescent="0.25">
      <c r="C25" s="25" t="s">
        <v>25</v>
      </c>
      <c r="D25" s="8">
        <v>29678.099999999995</v>
      </c>
    </row>
    <row r="26" spans="3:4" x14ac:dyDescent="0.25">
      <c r="C26" s="25" t="s">
        <v>73</v>
      </c>
      <c r="D26" s="8">
        <v>801165.2699999999</v>
      </c>
    </row>
  </sheetData>
  <mergeCells count="1">
    <mergeCell ref="B1:T1"/>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A7E6F-0398-405C-B129-76EE81AB0F1C}">
  <dimension ref="A1:AB18"/>
  <sheetViews>
    <sheetView showGridLines="0" workbookViewId="0">
      <selection activeCell="N2" sqref="N2"/>
    </sheetView>
  </sheetViews>
  <sheetFormatPr defaultRowHeight="15" x14ac:dyDescent="0.25"/>
  <cols>
    <col min="1" max="1" width="1.7109375" customWidth="1"/>
    <col min="4" max="4" width="6.42578125" customWidth="1"/>
    <col min="5" max="5" width="12.7109375" customWidth="1"/>
    <col min="6" max="6" width="12.5703125" bestFit="1" customWidth="1"/>
    <col min="7" max="7" width="12.28515625" bestFit="1" customWidth="1"/>
    <col min="8" max="8" width="9.7109375" bestFit="1" customWidth="1"/>
    <col min="10" max="10" width="15.42578125" customWidth="1"/>
    <col min="11" max="11" width="10.5703125" customWidth="1"/>
    <col min="12" max="12" width="9.85546875" bestFit="1" customWidth="1"/>
  </cols>
  <sheetData>
    <row r="1" spans="1:28" s="9" customFormat="1" ht="52.5" customHeight="1" x14ac:dyDescent="0.25">
      <c r="A1" s="13"/>
      <c r="B1" s="68" t="s">
        <v>92</v>
      </c>
      <c r="C1" s="62"/>
      <c r="D1" s="62"/>
      <c r="E1" s="62"/>
      <c r="F1" s="62"/>
      <c r="G1" s="62"/>
      <c r="H1" s="62"/>
      <c r="I1" s="62"/>
      <c r="J1" s="62"/>
      <c r="K1" s="12"/>
      <c r="L1" s="12"/>
      <c r="M1" s="12"/>
      <c r="N1" s="12"/>
      <c r="O1" s="12"/>
      <c r="P1" s="12"/>
      <c r="Q1" s="12"/>
      <c r="R1" s="12"/>
      <c r="S1" s="12"/>
      <c r="T1" s="14"/>
      <c r="U1" s="14"/>
    </row>
    <row r="3" spans="1:28" x14ac:dyDescent="0.25">
      <c r="AB3" s="23" t="s">
        <v>37</v>
      </c>
    </row>
    <row r="4" spans="1:28" ht="15.75" x14ac:dyDescent="0.25">
      <c r="D4" t="s">
        <v>82</v>
      </c>
      <c r="F4" s="43" t="s">
        <v>34</v>
      </c>
      <c r="AB4" s="24" t="s">
        <v>35</v>
      </c>
    </row>
    <row r="5" spans="1:28" x14ac:dyDescent="0.25">
      <c r="AB5" s="24" t="s">
        <v>36</v>
      </c>
    </row>
    <row r="6" spans="1:28" ht="18.75" x14ac:dyDescent="0.3">
      <c r="D6" s="38" t="s">
        <v>83</v>
      </c>
      <c r="E6" s="38"/>
      <c r="F6" s="39"/>
      <c r="G6" s="39"/>
      <c r="H6" s="39"/>
      <c r="J6" s="41" t="s">
        <v>89</v>
      </c>
      <c r="K6" s="42"/>
      <c r="L6" s="39"/>
      <c r="M6" s="39"/>
      <c r="AB6" s="23" t="s">
        <v>39</v>
      </c>
    </row>
    <row r="7" spans="1:28" x14ac:dyDescent="0.25">
      <c r="AB7" s="23" t="s">
        <v>38</v>
      </c>
    </row>
    <row r="8" spans="1:28" ht="15.75" x14ac:dyDescent="0.25">
      <c r="E8" s="33" t="s">
        <v>84</v>
      </c>
      <c r="F8" s="33"/>
      <c r="G8" s="32"/>
      <c r="H8" s="36">
        <f>COUNTIFS(data[Geography],F4)</f>
        <v>58</v>
      </c>
      <c r="J8" s="34"/>
      <c r="K8" s="40" t="s">
        <v>1</v>
      </c>
      <c r="L8" s="40" t="s">
        <v>49</v>
      </c>
      <c r="M8" s="35"/>
      <c r="AB8" s="24" t="s">
        <v>34</v>
      </c>
    </row>
    <row r="9" spans="1:28" x14ac:dyDescent="0.25">
      <c r="J9" t="s">
        <v>2</v>
      </c>
      <c r="K9" s="2">
        <f>SUMIFS(data[Amount],data[Geography],$F$4,data[Sales Person],$J9)</f>
        <v>7763</v>
      </c>
      <c r="L9" s="2">
        <f>SUMIFS(data[Units],data[Geography],$F$4,data[Sales Person],$J9)</f>
        <v>174</v>
      </c>
      <c r="M9" s="30">
        <f>IF(K9&gt;12000,1,-1)</f>
        <v>-1</v>
      </c>
    </row>
    <row r="10" spans="1:28" x14ac:dyDescent="0.25">
      <c r="E10" s="34"/>
      <c r="F10" s="34"/>
      <c r="G10" s="35" t="s">
        <v>85</v>
      </c>
      <c r="H10" s="35" t="s">
        <v>57</v>
      </c>
      <c r="J10" t="s">
        <v>8</v>
      </c>
      <c r="K10" s="2">
        <f>SUMIFS(data[Amount],data[Geography],$F$4,data[Sales Person],$J10)</f>
        <v>5516</v>
      </c>
      <c r="L10" s="2">
        <f>SUMIFS(data[Units],data[Geography],$F$4,data[Sales Person],$J10)</f>
        <v>507</v>
      </c>
      <c r="M10" s="30">
        <f t="shared" ref="M10:M18" si="0">IF(K10&gt;12000,1,-1)</f>
        <v>-1</v>
      </c>
    </row>
    <row r="11" spans="1:28" x14ac:dyDescent="0.25">
      <c r="E11" s="4" t="s">
        <v>86</v>
      </c>
      <c r="G11" s="8">
        <f>SUMIFS(data[Amount],data[Geography],F$4)</f>
        <v>252469</v>
      </c>
      <c r="H11" s="8">
        <f>AVERAGEIFS(data[Amount],data[Geography],F$4)</f>
        <v>4352.9137931034484</v>
      </c>
      <c r="J11" t="s">
        <v>41</v>
      </c>
      <c r="K11" s="2">
        <f>SUMIFS(data[Amount],data[Geography],$F$4,data[Sales Person],$J11)</f>
        <v>15855</v>
      </c>
      <c r="L11" s="2">
        <f>SUMIFS(data[Units],data[Geography],$F$4,data[Sales Person],$J11)</f>
        <v>708</v>
      </c>
      <c r="M11" s="30">
        <f t="shared" si="0"/>
        <v>1</v>
      </c>
    </row>
    <row r="12" spans="1:28" x14ac:dyDescent="0.25">
      <c r="E12" s="4" t="s">
        <v>79</v>
      </c>
      <c r="G12" s="8">
        <f>SUMIFS(data[Cost],data[Geography],F$4)</f>
        <v>80681.400000000038</v>
      </c>
      <c r="H12" s="8">
        <f>AVERAGEIFS(data[Cost],data[Geography],F4)</f>
        <v>1391.0586206896558</v>
      </c>
      <c r="J12" t="s">
        <v>7</v>
      </c>
      <c r="K12" s="2">
        <f>SUMIFS(data[Amount],data[Geography],$F$4,data[Sales Person],$J12)</f>
        <v>31661</v>
      </c>
      <c r="L12" s="2">
        <f>SUMIFS(data[Units],data[Geography],$F$4,data[Sales Person],$J12)</f>
        <v>978</v>
      </c>
      <c r="M12" s="30">
        <f t="shared" si="0"/>
        <v>1</v>
      </c>
    </row>
    <row r="13" spans="1:28" x14ac:dyDescent="0.25">
      <c r="E13" s="4" t="s">
        <v>87</v>
      </c>
      <c r="G13" s="8">
        <f>G11-G12</f>
        <v>171787.59999999998</v>
      </c>
      <c r="H13" s="8">
        <f>H11-H12</f>
        <v>2961.8551724137924</v>
      </c>
      <c r="J13" t="s">
        <v>6</v>
      </c>
      <c r="K13" s="2">
        <f>SUMIFS(data[Amount],data[Geography],$F$4,data[Sales Person],$J13)</f>
        <v>33670</v>
      </c>
      <c r="L13" s="2">
        <f>SUMIFS(data[Units],data[Geography],$F$4,data[Sales Person],$J13)</f>
        <v>1515</v>
      </c>
      <c r="M13" s="30">
        <f t="shared" si="0"/>
        <v>1</v>
      </c>
    </row>
    <row r="14" spans="1:28" x14ac:dyDescent="0.25">
      <c r="E14" s="4" t="s">
        <v>88</v>
      </c>
      <c r="G14" s="3">
        <f>SUMIFS(data[Units],data[Geography],F4)</f>
        <v>8760</v>
      </c>
      <c r="H14" s="37">
        <f>AVERAGEIFS(data[Units],data[Geography],F$4)</f>
        <v>151.0344827586207</v>
      </c>
      <c r="J14" t="s">
        <v>5</v>
      </c>
      <c r="K14" s="2">
        <f>SUMIFS(data[Amount],data[Geography],$F$4,data[Sales Person],$J14)</f>
        <v>41559</v>
      </c>
      <c r="L14" s="2">
        <f>SUMIFS(data[Units],data[Geography],$F$4,data[Sales Person],$J14)</f>
        <v>1188</v>
      </c>
      <c r="M14" s="30">
        <f t="shared" si="0"/>
        <v>1</v>
      </c>
    </row>
    <row r="15" spans="1:28" x14ac:dyDescent="0.25">
      <c r="J15" t="s">
        <v>3</v>
      </c>
      <c r="K15" s="2">
        <f>SUMIFS(data[Amount],data[Geography],$F$4,data[Sales Person],$J15)</f>
        <v>35847</v>
      </c>
      <c r="L15" s="2">
        <f>SUMIFS(data[Units],data[Geography],$F$4,data[Sales Person],$J15)</f>
        <v>1416</v>
      </c>
      <c r="M15" s="30">
        <f t="shared" si="0"/>
        <v>1</v>
      </c>
    </row>
    <row r="16" spans="1:28" x14ac:dyDescent="0.25">
      <c r="J16" t="s">
        <v>9</v>
      </c>
      <c r="K16" s="2">
        <f>SUMIFS(data[Amount],data[Geography],$F$4,data[Sales Person],$J16)</f>
        <v>39424</v>
      </c>
      <c r="L16" s="2">
        <f>SUMIFS(data[Units],data[Geography],$F$4,data[Sales Person],$J16)</f>
        <v>1122</v>
      </c>
      <c r="M16" s="30">
        <f t="shared" si="0"/>
        <v>1</v>
      </c>
    </row>
    <row r="17" spans="10:13" x14ac:dyDescent="0.25">
      <c r="J17" t="s">
        <v>10</v>
      </c>
      <c r="K17" s="2">
        <f>SUMIFS(data[Amount],data[Geography],$F$4,data[Sales Person],$J17)</f>
        <v>16527</v>
      </c>
      <c r="L17" s="2">
        <f>SUMIFS(data[Units],data[Geography],$F$4,data[Sales Person],$J17)</f>
        <v>417</v>
      </c>
      <c r="M17" s="30">
        <f t="shared" si="0"/>
        <v>1</v>
      </c>
    </row>
    <row r="18" spans="10:13" x14ac:dyDescent="0.25">
      <c r="J18" t="s">
        <v>40</v>
      </c>
      <c r="K18" s="2">
        <f>SUMIFS(data[Amount],data[Geography],$F$4,data[Sales Person],$J18)</f>
        <v>24647</v>
      </c>
      <c r="L18" s="2">
        <f>SUMIFS(data[Units],data[Geography],$F$4,data[Sales Person],$J18)</f>
        <v>735</v>
      </c>
      <c r="M18" s="30">
        <f t="shared" si="0"/>
        <v>1</v>
      </c>
    </row>
  </sheetData>
  <sortState xmlns:xlrd2="http://schemas.microsoft.com/office/spreadsheetml/2017/richdata2" ref="J9:L18">
    <sortCondition ref="J8"/>
  </sortState>
  <mergeCells count="1">
    <mergeCell ref="B1:J1"/>
  </mergeCells>
  <conditionalFormatting sqref="K9:K18">
    <cfRule type="dataBar" priority="3">
      <dataBar>
        <cfvo type="min"/>
        <cfvo type="max"/>
        <color rgb="FF63C384"/>
      </dataBar>
      <extLst>
        <ext xmlns:x14="http://schemas.microsoft.com/office/spreadsheetml/2009/9/main" uri="{B025F937-C7B1-47D3-B67F-A62EFF666E3E}">
          <x14:id>{2D2B3E73-BB80-44CF-A8E8-9D10B4696FF6}</x14:id>
        </ext>
      </extLst>
    </cfRule>
  </conditionalFormatting>
  <dataValidations count="1">
    <dataValidation type="list" allowBlank="1" showInputMessage="1" showErrorMessage="1" sqref="F4" xr:uid="{CE2A98EB-433F-4992-AC22-3B7A50B714E6}">
      <formula1>$AB$3:$AB$8</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2D2B3E73-BB80-44CF-A8E8-9D10B4696FF6}">
            <x14:dataBar minLength="0" maxLength="100" gradient="0">
              <x14:cfvo type="autoMin"/>
              <x14:cfvo type="autoMax"/>
              <x14:negativeFillColor rgb="FFFF0000"/>
              <x14:axisColor rgb="FF000000"/>
            </x14:dataBar>
          </x14:cfRule>
          <xm:sqref>K9:K18</xm:sqref>
        </x14:conditionalFormatting>
        <x14:conditionalFormatting xmlns:xm="http://schemas.microsoft.com/office/excel/2006/main">
          <x14:cfRule type="iconSet" priority="2" id="{129F93D2-6634-44FB-9792-DFEB5F2B3DA9}">
            <x14:iconSet iconSet="3Symbols" showValue="0" custom="1">
              <x14:cfvo type="percent">
                <xm:f>0</xm:f>
              </x14:cfvo>
              <x14:cfvo type="num">
                <xm:f>0</xm:f>
              </x14:cfvo>
              <x14:cfvo type="num">
                <xm:f>1</xm:f>
              </x14:cfvo>
              <x14:cfIcon iconSet="3Symbols" iconId="0"/>
              <x14:cfIcon iconSet="NoIcons" iconId="0"/>
              <x14:cfIcon iconSet="3Symbols" iconId="2"/>
            </x14:iconSet>
          </x14:cfRule>
          <xm:sqref>M9:M18</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281E8-A794-41C6-9F3E-910479B971C4}">
  <sheetPr>
    <tabColor theme="7" tint="-0.499984740745262"/>
  </sheetPr>
  <dimension ref="A1:U26"/>
  <sheetViews>
    <sheetView workbookViewId="0">
      <selection activeCell="E8" sqref="E8"/>
    </sheetView>
  </sheetViews>
  <sheetFormatPr defaultRowHeight="15" x14ac:dyDescent="0.25"/>
  <cols>
    <col min="1" max="1" width="1.7109375" customWidth="1"/>
    <col min="3" max="3" width="21.85546875" bestFit="1" customWidth="1"/>
    <col min="4" max="4" width="14.85546875" bestFit="1" customWidth="1"/>
    <col min="5" max="5" width="12.28515625" bestFit="1" customWidth="1"/>
    <col min="6" max="6" width="12.42578125" bestFit="1" customWidth="1"/>
    <col min="7" max="7" width="8" bestFit="1" customWidth="1"/>
  </cols>
  <sheetData>
    <row r="1" spans="1:21" s="9" customFormat="1" ht="52.5" customHeight="1" x14ac:dyDescent="0.25">
      <c r="A1" s="13"/>
      <c r="B1" s="68" t="s">
        <v>91</v>
      </c>
      <c r="C1" s="62"/>
      <c r="D1" s="62"/>
      <c r="E1" s="62"/>
      <c r="F1" s="62"/>
      <c r="G1" s="62"/>
      <c r="H1" s="62"/>
      <c r="I1" s="62"/>
      <c r="J1" s="12"/>
      <c r="K1" s="12"/>
      <c r="L1" s="12"/>
      <c r="M1" s="12"/>
      <c r="N1" s="12"/>
      <c r="O1" s="12"/>
      <c r="P1" s="12"/>
      <c r="Q1" s="12"/>
      <c r="R1" s="12"/>
      <c r="S1" s="12"/>
      <c r="T1" s="14"/>
      <c r="U1" s="14"/>
    </row>
    <row r="3" spans="1:21" x14ac:dyDescent="0.25">
      <c r="C3" s="20" t="s">
        <v>68</v>
      </c>
      <c r="D3" s="2" t="s">
        <v>69</v>
      </c>
      <c r="E3" t="s">
        <v>70</v>
      </c>
      <c r="F3" t="s">
        <v>81</v>
      </c>
      <c r="G3" t="s">
        <v>90</v>
      </c>
    </row>
    <row r="4" spans="1:21" x14ac:dyDescent="0.25">
      <c r="C4" s="25" t="s">
        <v>14</v>
      </c>
      <c r="D4" s="2">
        <v>43183</v>
      </c>
      <c r="E4" s="26">
        <v>2022</v>
      </c>
      <c r="F4" s="8">
        <v>19525.600000000002</v>
      </c>
      <c r="G4" s="44">
        <v>0.45215941458444298</v>
      </c>
    </row>
    <row r="5" spans="1:21" x14ac:dyDescent="0.25">
      <c r="C5" s="25" t="s">
        <v>30</v>
      </c>
      <c r="D5" s="2">
        <v>66500</v>
      </c>
      <c r="E5" s="26">
        <v>2802</v>
      </c>
      <c r="F5" s="8">
        <v>25899.020000000011</v>
      </c>
      <c r="G5" s="44">
        <v>0.38945894736842124</v>
      </c>
    </row>
    <row r="6" spans="1:21" x14ac:dyDescent="0.25">
      <c r="C6" s="25" t="s">
        <v>24</v>
      </c>
      <c r="D6" s="2">
        <v>35378</v>
      </c>
      <c r="E6" s="26">
        <v>1044</v>
      </c>
      <c r="F6" s="8">
        <v>30189.32</v>
      </c>
      <c r="G6" s="44">
        <v>0.85333597150771667</v>
      </c>
    </row>
    <row r="7" spans="1:21" x14ac:dyDescent="0.25">
      <c r="C7" s="25" t="s">
        <v>19</v>
      </c>
      <c r="D7" s="2">
        <v>44744</v>
      </c>
      <c r="E7" s="26">
        <v>1956</v>
      </c>
      <c r="F7" s="8">
        <v>29800.160000000003</v>
      </c>
      <c r="G7" s="44">
        <v>0.66601466118362251</v>
      </c>
    </row>
    <row r="8" spans="1:21" x14ac:dyDescent="0.25">
      <c r="C8" s="25" t="s">
        <v>22</v>
      </c>
      <c r="D8" s="2">
        <v>66283</v>
      </c>
      <c r="E8" s="26">
        <v>2052</v>
      </c>
      <c r="F8" s="8">
        <v>46234.960000000006</v>
      </c>
      <c r="G8" s="44">
        <v>0.69753873542235578</v>
      </c>
    </row>
    <row r="9" spans="1:21" x14ac:dyDescent="0.25">
      <c r="C9" s="25" t="s">
        <v>4</v>
      </c>
      <c r="D9" s="2">
        <v>33551</v>
      </c>
      <c r="E9" s="26">
        <v>1566</v>
      </c>
      <c r="F9" s="8">
        <v>14946.919999999998</v>
      </c>
      <c r="G9" s="44">
        <v>0.44549849482876808</v>
      </c>
    </row>
    <row r="10" spans="1:21" x14ac:dyDescent="0.25">
      <c r="C10" s="25" t="s">
        <v>26</v>
      </c>
      <c r="D10" s="2">
        <v>70273</v>
      </c>
      <c r="E10" s="26">
        <v>2142</v>
      </c>
      <c r="F10" s="8">
        <v>58277.8</v>
      </c>
      <c r="G10" s="44">
        <v>0.82930570773981471</v>
      </c>
    </row>
    <row r="11" spans="1:21" x14ac:dyDescent="0.25">
      <c r="C11" s="25" t="s">
        <v>28</v>
      </c>
      <c r="D11" s="2">
        <v>72373</v>
      </c>
      <c r="E11" s="26">
        <v>3207</v>
      </c>
      <c r="F11" s="8">
        <v>39084.340000000004</v>
      </c>
      <c r="G11" s="44">
        <v>0.54004034653807365</v>
      </c>
    </row>
    <row r="12" spans="1:21" x14ac:dyDescent="0.25">
      <c r="C12" s="25" t="s">
        <v>32</v>
      </c>
      <c r="D12" s="2">
        <v>71967</v>
      </c>
      <c r="E12" s="26">
        <v>2301</v>
      </c>
      <c r="F12" s="8">
        <v>52063.35</v>
      </c>
      <c r="G12" s="44">
        <v>0.72343365709283425</v>
      </c>
    </row>
    <row r="13" spans="1:21" x14ac:dyDescent="0.25">
      <c r="C13" s="25" t="s">
        <v>18</v>
      </c>
      <c r="D13" s="2">
        <v>52150</v>
      </c>
      <c r="E13" s="26">
        <v>1752</v>
      </c>
      <c r="F13" s="8">
        <v>40814.559999999998</v>
      </c>
      <c r="G13" s="44">
        <v>0.78263777564717163</v>
      </c>
    </row>
    <row r="14" spans="1:21" x14ac:dyDescent="0.25">
      <c r="C14" s="25" t="s">
        <v>17</v>
      </c>
      <c r="D14" s="2">
        <v>63721</v>
      </c>
      <c r="E14" s="26">
        <v>2331</v>
      </c>
      <c r="F14" s="8">
        <v>56471.590000000004</v>
      </c>
      <c r="G14" s="44">
        <v>0.88623201142480512</v>
      </c>
    </row>
    <row r="15" spans="1:21" x14ac:dyDescent="0.25">
      <c r="C15" s="25" t="s">
        <v>23</v>
      </c>
      <c r="D15" s="2">
        <v>56644</v>
      </c>
      <c r="E15" s="26">
        <v>1812</v>
      </c>
      <c r="F15" s="8">
        <v>44884.12</v>
      </c>
      <c r="G15" s="44">
        <v>0.79238966174705183</v>
      </c>
    </row>
    <row r="16" spans="1:21" x14ac:dyDescent="0.25">
      <c r="C16" s="25" t="s">
        <v>29</v>
      </c>
      <c r="D16" s="2">
        <v>58009</v>
      </c>
      <c r="E16" s="26">
        <v>2976</v>
      </c>
      <c r="F16" s="8">
        <v>36700.840000000004</v>
      </c>
      <c r="G16" s="44">
        <v>0.6326749297522799</v>
      </c>
    </row>
    <row r="17" spans="3:7" x14ac:dyDescent="0.25">
      <c r="C17" s="25" t="s">
        <v>13</v>
      </c>
      <c r="D17" s="2">
        <v>47271</v>
      </c>
      <c r="E17" s="26">
        <v>1881</v>
      </c>
      <c r="F17" s="8">
        <v>29721.27</v>
      </c>
      <c r="G17" s="44">
        <v>0.62874214634765502</v>
      </c>
    </row>
    <row r="18" spans="3:7" x14ac:dyDescent="0.25">
      <c r="C18" s="25" t="s">
        <v>16</v>
      </c>
      <c r="D18" s="2">
        <v>62111</v>
      </c>
      <c r="E18" s="26">
        <v>2154</v>
      </c>
      <c r="F18" s="8">
        <v>43177.340000000004</v>
      </c>
      <c r="G18" s="44">
        <v>0.6951641416174269</v>
      </c>
    </row>
    <row r="19" spans="3:7" x14ac:dyDescent="0.25">
      <c r="C19" s="25" t="s">
        <v>20</v>
      </c>
      <c r="D19" s="2">
        <v>54712</v>
      </c>
      <c r="E19" s="26">
        <v>2196</v>
      </c>
      <c r="F19" s="8">
        <v>31390.480000000003</v>
      </c>
      <c r="G19" s="44">
        <v>0.57374031291124439</v>
      </c>
    </row>
    <row r="20" spans="3:7" x14ac:dyDescent="0.25">
      <c r="C20" s="25" t="s">
        <v>27</v>
      </c>
      <c r="D20" s="2">
        <v>69461</v>
      </c>
      <c r="E20" s="26">
        <v>2982</v>
      </c>
      <c r="F20" s="8">
        <v>19572.14</v>
      </c>
      <c r="G20" s="44">
        <v>0.28177164164063284</v>
      </c>
    </row>
    <row r="21" spans="3:7" x14ac:dyDescent="0.25">
      <c r="C21" s="25" t="s">
        <v>33</v>
      </c>
      <c r="D21" s="2">
        <v>69160</v>
      </c>
      <c r="E21" s="26">
        <v>1854</v>
      </c>
      <c r="F21" s="8">
        <v>46226.020000000004</v>
      </c>
      <c r="G21" s="44">
        <v>0.6683924233661076</v>
      </c>
    </row>
    <row r="22" spans="3:7" x14ac:dyDescent="0.25">
      <c r="C22" s="25" t="s">
        <v>15</v>
      </c>
      <c r="D22" s="2">
        <v>68971</v>
      </c>
      <c r="E22" s="26">
        <v>1533</v>
      </c>
      <c r="F22" s="8">
        <v>50988.91</v>
      </c>
      <c r="G22" s="44">
        <v>0.73928042220643464</v>
      </c>
    </row>
    <row r="23" spans="3:7" x14ac:dyDescent="0.25">
      <c r="C23" s="25" t="s">
        <v>31</v>
      </c>
      <c r="D23" s="2">
        <v>39263</v>
      </c>
      <c r="E23" s="26">
        <v>1683</v>
      </c>
      <c r="F23" s="8">
        <v>29518.43</v>
      </c>
      <c r="G23" s="44">
        <v>0.75181290273285284</v>
      </c>
    </row>
    <row r="24" spans="3:7" x14ac:dyDescent="0.25">
      <c r="C24" s="25" t="s">
        <v>21</v>
      </c>
      <c r="D24" s="2">
        <v>37772</v>
      </c>
      <c r="E24" s="26">
        <v>1308</v>
      </c>
      <c r="F24" s="8">
        <v>26000</v>
      </c>
      <c r="G24" s="44">
        <v>0.68834056973419466</v>
      </c>
    </row>
    <row r="25" spans="3:7" x14ac:dyDescent="0.25">
      <c r="C25" s="25" t="s">
        <v>25</v>
      </c>
      <c r="D25" s="2">
        <v>57372</v>
      </c>
      <c r="E25" s="26">
        <v>2106</v>
      </c>
      <c r="F25" s="8">
        <v>29678.099999999995</v>
      </c>
      <c r="G25" s="44">
        <v>0.51729240744614091</v>
      </c>
    </row>
    <row r="26" spans="3:7" x14ac:dyDescent="0.25">
      <c r="C26" s="25" t="s">
        <v>73</v>
      </c>
      <c r="D26" s="2">
        <v>1240869</v>
      </c>
      <c r="E26" s="26">
        <v>45660</v>
      </c>
      <c r="F26" s="8">
        <v>801165.2699999999</v>
      </c>
      <c r="G26" s="44">
        <v>0.64564854952456696</v>
      </c>
    </row>
  </sheetData>
  <mergeCells count="1">
    <mergeCell ref="B1:I1"/>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vt:lpstr>
      <vt:lpstr>To Do</vt:lpstr>
      <vt:lpstr>1</vt:lpstr>
      <vt:lpstr>2</vt:lpstr>
      <vt:lpstr>3</vt:lpstr>
      <vt:lpstr>4</vt:lpstr>
      <vt:lpstr>5</vt:lpstr>
      <vt:lpstr>6</vt:lpstr>
      <vt:lpstr>7</vt:lpstr>
      <vt:lpstr>8</vt:lpstr>
      <vt:lpstr>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Arvind</dc:creator>
  <cp:lastModifiedBy>arvind</cp:lastModifiedBy>
  <dcterms:created xsi:type="dcterms:W3CDTF">2021-03-14T20:21:32Z</dcterms:created>
  <dcterms:modified xsi:type="dcterms:W3CDTF">2026-02-15T11:17:07Z</dcterms:modified>
</cp:coreProperties>
</file>